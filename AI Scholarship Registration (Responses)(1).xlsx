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Topic Insights" sheetId="2" r:id="rId6"/>
  </sheets>
  <definedNames>
    <definedName hidden="1" localSheetId="0" name="_xlnm._FilterDatabase">'Form Responses 1'!$A$1:$M$418</definedName>
  </definedNames>
  <calcPr/>
</workbook>
</file>

<file path=xl/sharedStrings.xml><?xml version="1.0" encoding="utf-8"?>
<sst xmlns="http://schemas.openxmlformats.org/spreadsheetml/2006/main" count="5006" uniqueCount="3379">
  <si>
    <t>Timestamp</t>
  </si>
  <si>
    <t>Name</t>
  </si>
  <si>
    <t xml:space="preserve">Phone Number ( must have WhatsApp ) </t>
  </si>
  <si>
    <t>Email</t>
  </si>
  <si>
    <t xml:space="preserve">Please Select Preferred Scholarship type </t>
  </si>
  <si>
    <t>LinkedIn</t>
  </si>
  <si>
    <t>Please upload your CV</t>
  </si>
  <si>
    <t>Why do you want this Scholarship?</t>
  </si>
  <si>
    <t>Why should we accept you?</t>
  </si>
  <si>
    <t>Where did you hear about us?</t>
  </si>
  <si>
    <t>Preferred Sessions Time</t>
  </si>
  <si>
    <t xml:space="preserve">What are the topics that you want to learn during this scholarship ? </t>
  </si>
  <si>
    <t>Any notes</t>
  </si>
  <si>
    <t xml:space="preserve">Abdelrahman Khalil Ali Mohamed </t>
  </si>
  <si>
    <t>01111070574</t>
  </si>
  <si>
    <t>kabdelrahman213@gmail.com</t>
  </si>
  <si>
    <t>Online</t>
  </si>
  <si>
    <t>https://www.linkedin.com/in/abdelrahman-khalil-0937ab2b0?utm_source=share_via&amp;utm_content=profile&amp;utm_medium=member_android</t>
  </si>
  <si>
    <t>https://drive.google.com/open?id=1OXEUPDVvHFERFYuisz9KYWJWewpfKQ4f</t>
  </si>
  <si>
    <t>It will help me to get job</t>
  </si>
  <si>
    <t>..</t>
  </si>
  <si>
    <t xml:space="preserve">Facebook </t>
  </si>
  <si>
    <t>Any time is ok</t>
  </si>
  <si>
    <t>Python Basics, Mathematics, Data Preprocessing, Data Analysis ( using python ), Introduction to Data Engineering ( Theoratical ), Machine Learning, Deep Learning, NLP &amp; LLMs, AI Tools, All AI Topics</t>
  </si>
  <si>
    <t>Samy Haliem</t>
  </si>
  <si>
    <t>01227531720</t>
  </si>
  <si>
    <t>samy.scomi@gmail.com</t>
  </si>
  <si>
    <t>https://www.linkedin.com/in/samyhaliem/</t>
  </si>
  <si>
    <t>https://drive.google.com/open?id=1MA5qC-xYVIQlE7qP3-nvJPcfSblhcIAp</t>
  </si>
  <si>
    <t xml:space="preserve">Carrier change </t>
  </si>
  <si>
    <t xml:space="preserve">Because i love to learn </t>
  </si>
  <si>
    <t>Facebook</t>
  </si>
  <si>
    <t>Night</t>
  </si>
  <si>
    <t>Data Preprocessing, Data Analysis ( using python ), Machine Learning, Deep Learning, All AI Topics</t>
  </si>
  <si>
    <t xml:space="preserve">No thanks </t>
  </si>
  <si>
    <t xml:space="preserve">Rehab Abuelhassan Mohamed </t>
  </si>
  <si>
    <t>01064713782</t>
  </si>
  <si>
    <t>rehababuelhassan6@gmail.com</t>
  </si>
  <si>
    <t>www.linkedin.com/in/rehab-abuelhassan-21973b216?utm_source=share&amp;utm_campaign=share_via&amp;utm_content=profile&amp;utm_medium=android_app</t>
  </si>
  <si>
    <t>https://drive.google.com/open?id=10apviXBsA4_GQ7hVhbH67ktCZ42t1QnV</t>
  </si>
  <si>
    <t>to learn</t>
  </si>
  <si>
    <t xml:space="preserve">because I have some experience </t>
  </si>
  <si>
    <t>Python Basics, Mathematics, Data Preprocessing, Data Analysis ( using python ), Introduction to Data Engineering ( Theoratical ), Machine Learning, Deep Learning, MLOps ( using AWS and/or Huwawie Cloud ), NLP &amp; LLMs, Computer Vision</t>
  </si>
  <si>
    <t>no</t>
  </si>
  <si>
    <t xml:space="preserve">ايات محمد فخرى محمد </t>
  </si>
  <si>
    <t>01095103433</t>
  </si>
  <si>
    <t>Ayatfakhary4@gmail.com</t>
  </si>
  <si>
    <t>Hybrid</t>
  </si>
  <si>
    <t>https://www.linkedin.com/in/ayat-fakhary-614ab9248?utm_source=share&amp;utm_campaign=share_via&amp;utm_content=profile&amp;utm_medium=android_app</t>
  </si>
  <si>
    <t>https://drive.google.com/open?id=1SfFCARr254f_hYMriqlfk9ybn8LEBaKp</t>
  </si>
  <si>
    <t xml:space="preserve">علشان حابة اتعلم كل مجال ال ai وكل المجالات اللى ليها علاقة بيهم وافهم فيه اكتر علشان اشتغل بيه </t>
  </si>
  <si>
    <t xml:space="preserve">Because I want to learn and I love this track very much and iam an ambitious person </t>
  </si>
  <si>
    <t>MLOps ( using AWS and/or Huwawie Cloud ), NLP &amp; LLMs, Computer Vision, Agentic AI, AI Tools</t>
  </si>
  <si>
    <t xml:space="preserve">حابة استفيد من المنحة واتعلم التراكات دى لان والدى متوفى فحابة اشتغل شغل كزيس فى مجال كبير </t>
  </si>
  <si>
    <t xml:space="preserve">Abdelghany Ahmed Elshershapy </t>
  </si>
  <si>
    <t>01552256981</t>
  </si>
  <si>
    <t>abdelghany662002@gmail.com</t>
  </si>
  <si>
    <t>https://www.linkedin.com/in/abdelghany-elshershapy-16951a247?utm_source=share&amp;utm_campaign=share_via&amp;utm_content=profile&amp;utm_medium=android_app</t>
  </si>
  <si>
    <t>https://drive.google.com/open?id=1PMchgyyWjbK0IiUtUYTBjBqqT0ypbdvH</t>
  </si>
  <si>
    <t xml:space="preserve">Because I want to land on a new job on AI field as it the new term of technology of our decade </t>
  </si>
  <si>
    <t xml:space="preserve">As I am self studied person who want to improve it's skills and his whole life </t>
  </si>
  <si>
    <t>AItronix (currently student with them)</t>
  </si>
  <si>
    <t>Introduction to Data Engineering ( Theoratical ), Machine Learning, Deep Learning, MLOps ( using AWS and/or Huwawie Cloud ), NLP &amp; LLMs, Agentic AI</t>
  </si>
  <si>
    <t xml:space="preserve">Thanks for this opportunity and I hope to be one of this great opportunity </t>
  </si>
  <si>
    <t xml:space="preserve">Alaa Elsayed Gabr </t>
  </si>
  <si>
    <t>01094743581</t>
  </si>
  <si>
    <t>xxalaagabr@gmail.com</t>
  </si>
  <si>
    <t>https://www.linkedin.com/in/engalaagabr/</t>
  </si>
  <si>
    <t>https://drive.google.com/open?id=1_VXcxgxCFzKZfB2ryVfS4rIEBfT82II8</t>
  </si>
  <si>
    <t>I want this scholarship because it gives me a real opportunity to build strong, practical skills in artificial intelligence and machine learning, not just theoretical knowledge. AI is a field that is shaping the future of many industries, and I want to be part of creating impactful solutions rather than just using existing ones.
This scholarship will help me learn from structured, high-quality content, work on real projects, and gain exposure to advanced topics that are often difficult to access without guidance or financial support. It will also allow me to focus on learning, experimenting, and improving my skills without limitations.
My goal is to use the knowledge I gain to solve real-world problems, contribute to innovative projects, and continuously grow as an AI professional. I believe this scholarship is a key step toward achieving that goal and making meaningful contributions in the field of artificial intelligence.</t>
  </si>
  <si>
    <t>You should accept me because I am genuinely committed to learning artificial intelligence deeply and applying it in a practical, impactful way. I don’t see this scholarship as just a certificate or an opportunity to enroll in courses, but as a responsibility to grow, contribute, and make the most out of the resources provided.
I am disciplined, curious, and consistent in learning, especially in challenging topics. When I face difficulties, I actively search for solutions, ask questions, and improve rather than giving up. This mindset allows me to benefit fully from advanced material and real-world projects.
In addition, I value collaboration and knowledge sharing. I aim to engage actively with mentors and peers, contribute positively to the learning community, and represent the scholarship with professionalism and dedication. I am confident that accepting me will result in a motivated learner who maximizes this opportunity and delivers real value in return.</t>
  </si>
  <si>
    <t>I heard about Atrionix through social media, where your scholarship announcement was shared and discussed.</t>
  </si>
  <si>
    <t>Machine Learning, Deep Learning, MLOps ( using AWS and/or Huwawie Cloud ), NLP &amp; LLMs, Computer Vision, Agentic AI</t>
  </si>
  <si>
    <t>No</t>
  </si>
  <si>
    <t>Mahmoud ahmed eldakrory</t>
  </si>
  <si>
    <t>01094925975</t>
  </si>
  <si>
    <t>huda.deco321@gmail.com</t>
  </si>
  <si>
    <t>https://www.linkedin.com/in/mahmoud-eldakrory-237b632a7?utm_source=share&amp;utm_campaign=share_via&amp;utm_content=profile&amp;utm_medium=android_app</t>
  </si>
  <si>
    <t>https://drive.google.com/open?id=1261rQ4Q3DdrrNot_smSue9XQciYRFrve</t>
  </si>
  <si>
    <t>i need it to be marketable</t>
  </si>
  <si>
    <t>Because i need it to improve my level</t>
  </si>
  <si>
    <t>Deep Learning, MLOps ( using AWS and/or Huwawie Cloud ), NLP &amp; LLMs, Computer Vision, All AI Topics</t>
  </si>
  <si>
    <t>حتي لو مش مؤهل خدوني شفقة🥹</t>
  </si>
  <si>
    <t>Mina Magdy Wessa Gendy</t>
  </si>
  <si>
    <t>01020637552</t>
  </si>
  <si>
    <t>minamagdy1270@gmail.com</t>
  </si>
  <si>
    <t>https://www.linkedin.com/in/mina-magdy-data-analyst/</t>
  </si>
  <si>
    <t>https://drive.google.com/open?id=1O9yUVJofFhtWvATEcdl-XysqpiPCien8</t>
  </si>
  <si>
    <t>I want this scholarship because I am passionate about learning AI and data analysis.
I study Business Technology with a focus on Business Analytics, and I want to use AI tools to improve my analytical skills.
And this scholarship will help me gain practical knowledge and apply AI in real business problems.</t>
  </si>
  <si>
    <t>You should accept me because I am highly motivated to learn and grow in the field of AI and data analysis.
As a Business Analytics student, I understand the importance of AI in solving real-world business problems.</t>
  </si>
  <si>
    <t>I heard about this opportunity from a teaching assistant at my university.</t>
  </si>
  <si>
    <t>Mathematics, Data Preprocessing, Data Analysis ( using python ), Introduction to Data Engineering ( Theoratical ), Machine Learning, Deep Learning, MLOps ( using AWS and/or Huwawie Cloud ), NLP &amp; LLMs, Computer Vision, Agentic AI, AI Tools, All AI Topics</t>
  </si>
  <si>
    <t>No additional notes. Thank you for this opportunity.</t>
  </si>
  <si>
    <t xml:space="preserve">Abdallah Ali Abdelgawad </t>
  </si>
  <si>
    <t>abdofarahat2006@gmail.com</t>
  </si>
  <si>
    <t>www.linkedin.com/in/abdallah-ali-da</t>
  </si>
  <si>
    <t>https://drive.google.com/open?id=14Efa4v3d5XHTnImaI-DTv1ohDZo_tPZx</t>
  </si>
  <si>
    <t xml:space="preserve">Cause It Will Help Me Alot In My Carrer Furthermore Am Student At ERU Learning Data Analyst and a little bit Data Science </t>
  </si>
  <si>
    <t xml:space="preserve">Because AM A STUDENT, I HAVE TIME FOR IT,  AND THIS OPPORTINITY WILL HELP ME ACHIEVE WHAT I WANT  </t>
  </si>
  <si>
    <t xml:space="preserve">I Already talked with Dr. Ahmed Before at AI for X That's How It Goes </t>
  </si>
  <si>
    <t>Introduction to Data Engineering ( Theoratical ), Machine Learning, Deep Learning, MLOps ( using AWS and/or Huwawie Cloud ), NLP &amp; LLMs, Agentic AI, AI Tools, All AI Topics</t>
  </si>
  <si>
    <t>Keep Going</t>
  </si>
  <si>
    <t xml:space="preserve">Mahmoud Samir Sobhy Mostafa </t>
  </si>
  <si>
    <t>01027525822</t>
  </si>
  <si>
    <t>mahmoudsamair22@gmail.com</t>
  </si>
  <si>
    <t>https://www.linkedin.com/in/mahmoud-samir-00028a29b?utm_source=share&amp;utm_campaign=share_via&amp;utm_content=profile&amp;utm_medium=android_app</t>
  </si>
  <si>
    <t>https://drive.google.com/open?id=1nLwbwd6Upzi6YRyhItI9GK0ecpeqbUfY</t>
  </si>
  <si>
    <t>I want this scholarship to gain strong, structured knowledge in Artificial Intelligence and apply it to solve real-world problems. It will help me build practical skills, learn from experts, and accelerate my career in the AI field.</t>
  </si>
  <si>
    <t>I have a strong foundation in data science and data engineering, I’m highly motivated, and I’m committed to continuous learning. I work hard, learn fast, and I’m ready to fully invest my time and effort to succeed and add value to the program.</t>
  </si>
  <si>
    <t xml:space="preserve">Facebook page </t>
  </si>
  <si>
    <t>Morning</t>
  </si>
  <si>
    <t>Python Basics, Mathematics, Data Preprocessing, Data Analysis ( using python ), Introduction to Data Engineering ( Theoratical ), Machine Learning</t>
  </si>
  <si>
    <t xml:space="preserve">No </t>
  </si>
  <si>
    <t>Ahmed Walid Ibrahim</t>
  </si>
  <si>
    <t>01101212219</t>
  </si>
  <si>
    <t>Ahmedwalidinquiries@gmail.com</t>
  </si>
  <si>
    <t>Offline</t>
  </si>
  <si>
    <t>https://www.linkedin.com/in/ahmed-walid-nito</t>
  </si>
  <si>
    <t>https://drive.google.com/open?id=1cC8Zq-5T9HnVme5FRh0Bfc8439qDjaiZ</t>
  </si>
  <si>
    <t>My field of study is data science and being accepted into this scholarship would provide me with all the necessary skills for being a data scientist, and fully knowing aitronix's reputation i know i will complete this scholarship in record time</t>
  </si>
  <si>
    <t>I delved into data science for quite some time in terms of machine learning algorithms like random forest and data Preprocessing and I'm getting accustomed to deep learning at the moment so I wouldn't slow down any team I'd be in and if the scholarship is solo work then I'm a lone wolf by nature and at my best when working alone</t>
  </si>
  <si>
    <t>LinkedIn and Facebook. I follow aitronix on both platforms</t>
  </si>
  <si>
    <t>After Noon</t>
  </si>
  <si>
    <t>Python Basics, Mathematics, Data Preprocessing, Data Analysis ( using python ), Introduction to Data Engineering ( Theoratical ), Machine Learning, Deep Learning, MLOps ( using AWS and/or Huwawie Cloud ), NLP &amp; LLMs, Computer Vision, Agentic AI, AI Tools, All AI Topics</t>
  </si>
  <si>
    <t>Just a quick note, i was under the guidance of eng. Ahmed hafez before in the eyouth cloud analytics bootcamp and understood how insightful and knowledgeable he is and would love to be under his guidance once again inshallah</t>
  </si>
  <si>
    <t xml:space="preserve">Mariam Hany </t>
  </si>
  <si>
    <t>mariamhanybt18@gmail.com</t>
  </si>
  <si>
    <t>https://www.linkedin.com/in/mariam-hany-715b89279?utm_source=share&amp;utm_campaign=share_via&amp;utm_content=profile&amp;utm_medium=android_app</t>
  </si>
  <si>
    <t>https://drive.google.com/open?id=1__wpg7WtE4FeYj4f5Mkpi8HHd4YV04mV</t>
  </si>
  <si>
    <t xml:space="preserve">Because I think he can give me everything I need to go deeper </t>
  </si>
  <si>
    <t xml:space="preserve">Because I am a student who seeks to develop myself with all my energy and I want you to be in the field </t>
  </si>
  <si>
    <t>Python Basics, Data Preprocessing, Data Analysis ( using python ), Machine Learning, Deep Learning, NLP &amp; LLMs, All AI Topics</t>
  </si>
  <si>
    <t>I hope to be a member of this scholarship because I see that it will add a lot to me</t>
  </si>
  <si>
    <t xml:space="preserve">Mahmoud Farag Ali Hasanin </t>
  </si>
  <si>
    <t>01010839163</t>
  </si>
  <si>
    <t>mahmoudfarag791@gmail.com</t>
  </si>
  <si>
    <t>https://www.linkedin.com/in/mahmoud-farag-62b023244?utm_source=share&amp;utm_campaign=share_via&amp;utm_content=profile&amp;utm_medium=android_app</t>
  </si>
  <si>
    <t>https://drive.google.com/open?id=1VlLV9exdnRQl033G5b7mrIxYmxtBF2eV</t>
  </si>
  <si>
    <t xml:space="preserve">I finished the Ai course with Ahmed Hafez in 2024 , and I noticed that the field has changed ao much in those two years so i want to keep my self on the track by learning new technologies in this field </t>
  </si>
  <si>
    <t xml:space="preserve">I am a very good listener and I am really concerned with being expert in this field, and i really want to know more details in each topic , so i find this a great opportunity for me to prove my skills </t>
  </si>
  <si>
    <t xml:space="preserve">Ahmed Hafez Page on Facebook </t>
  </si>
  <si>
    <t>All AI Topics</t>
  </si>
  <si>
    <t xml:space="preserve">no thanks </t>
  </si>
  <si>
    <t>Salma Mohamed</t>
  </si>
  <si>
    <t>salmakassem6@gmail.com</t>
  </si>
  <si>
    <t>www.linkedin.com/in/salma-mohamed-kassem</t>
  </si>
  <si>
    <t>https://drive.google.com/open?id=1D4B9yFw0vue_Pz5W4z1fpn1ZA0fyKVdF</t>
  </si>
  <si>
    <t xml:space="preserve">Because I want to learn ai specially agentic AI </t>
  </si>
  <si>
    <t>I am a continuous learner I love to learn new things and curious</t>
  </si>
  <si>
    <t xml:space="preserve">LinkedIn </t>
  </si>
  <si>
    <t>Deep Learning, MLOps ( using AWS and/or Huwawie Cloud ), NLP &amp; LLMs, Agentic AI, AI Tools</t>
  </si>
  <si>
    <t>I don't have</t>
  </si>
  <si>
    <t>Zeyad Hussein Adel Fathy Abdelfattah</t>
  </si>
  <si>
    <t>01006394824</t>
  </si>
  <si>
    <t>zeyad.hussein404@gmail.com</t>
  </si>
  <si>
    <t>https://www.linkedin.com/in/zeyad-hussein-04a580289/</t>
  </si>
  <si>
    <t>https://drive.google.com/open?id=1GpHqCQ2-Ck8RRqKQ8FffAszEVGBgrB6I</t>
  </si>
  <si>
    <t>I want this scholarship because it will give me a strong opportunity to develop my skills in Artificial Intelligence in a practical and structured way. It will help me turn theoretical knowledge into real-world applications and prepare me to build impactful AI solutions and succeed in the job market.</t>
  </si>
  <si>
    <t>You should accept me because I’m highly motivated, committed to learning, and genuinely passionate about Artificial Intelligence. I have a solid technical background, I learn quickly, and I always push myself to apply what I learn through real projects. I’m ready to fully invest in this scholarship and make the most out of it.</t>
  </si>
  <si>
    <t>Linked-in</t>
  </si>
  <si>
    <t>NA</t>
  </si>
  <si>
    <t>Tsabeeh Hamed Dafa Alla</t>
  </si>
  <si>
    <t>01226852383</t>
  </si>
  <si>
    <t>tsabehamed@gmail.com</t>
  </si>
  <si>
    <t>https://www.linkedin.com/in/tsabeh-hamed-data-analyst</t>
  </si>
  <si>
    <t>https://drive.google.com/open?id=1egTGRZ11V5Jgp5k1SacGK33laKQh2q_q</t>
  </si>
  <si>
    <t>want this scholarship to gain high-quality, structured AI knowledge and bridge the gap between theory and practice.
 The opportunity to compete in the Hackathon and attend the employment fair is essential for my career growth in the Egyptian tech market</t>
  </si>
  <si>
    <t>I am a dedicated learner with a strong commitment to excellence. 
 I have the foundational skills needed to succeed, and I aim to be among the top performers. My goal is to add value to the participating companies and represent the scholarship successfully</t>
  </si>
  <si>
    <t xml:space="preserve">Social media </t>
  </si>
  <si>
    <t xml:space="preserve">حبيبه اشرف محمد سليمان </t>
  </si>
  <si>
    <t>01003937065</t>
  </si>
  <si>
    <t>habibaashrafdwaly@gmail.com</t>
  </si>
  <si>
    <t>https://www.linkedin.com/in/habiba-ashraf-9b25862a7?utm_source=share&amp;utm_campaign=share_via&amp;utm_content=profile&amp;utm_medium=android_app</t>
  </si>
  <si>
    <t>https://drive.google.com/open?id=10AHcOO03_PCg3CiKVFqvg03rQKmcRVMo</t>
  </si>
  <si>
    <t xml:space="preserve">It will support me </t>
  </si>
  <si>
    <t xml:space="preserve">I have a good back ground on ai and I am a hardworking person </t>
  </si>
  <si>
    <t xml:space="preserve">Linked in </t>
  </si>
  <si>
    <t>Deep Learning, MLOps ( using AWS and/or Huwawie Cloud ), NLP &amp; LLMs, Computer Vision, Agentic AI, AI Tools, All AI Topics</t>
  </si>
  <si>
    <t xml:space="preserve">Nothing </t>
  </si>
  <si>
    <t xml:space="preserve">Omar Tokal </t>
  </si>
  <si>
    <t>01151552293</t>
  </si>
  <si>
    <t>omar.tokal2020@gmail.com</t>
  </si>
  <si>
    <t>www.linkedin.com/in/tokal/</t>
  </si>
  <si>
    <t>https://drive.google.com/open?id=1ZcNPQ2957uujEM068q9JFTjOJAXGbRSQ</t>
  </si>
  <si>
    <t>Whatsapp group of round 2</t>
  </si>
  <si>
    <t>i have some basic knowledge in ai and Cloud so i want merge them to be mlops</t>
  </si>
  <si>
    <t xml:space="preserve">Iam old student </t>
  </si>
  <si>
    <t>Introduction to Data Engineering ( Theoratical ), Machine Learning, Deep Learning, MLOps ( using AWS and/or Huwawie Cloud ), NLP &amp; LLMs, Computer Vision, Agentic AI, AI Tools, All AI Topics</t>
  </si>
  <si>
    <t>no notes</t>
  </si>
  <si>
    <t xml:space="preserve">Mohamed Ebrahim Hamed </t>
  </si>
  <si>
    <t>01093556456</t>
  </si>
  <si>
    <t>mohammedebrahim1177@gmail.com</t>
  </si>
  <si>
    <t>https://www.linkedin.com/in/mohamed-ebrahim-hamed?utm_source=share&amp;utm_campaign=share_via&amp;utm_content=profile&amp;utm_medium=android_app</t>
  </si>
  <si>
    <t>https://drive.google.com/open?id=1JaQxqpQqKHuC8jJbF-cNg6CgllwV_vvp</t>
  </si>
  <si>
    <t>I want this scholarship to build a strong and practical foundation in Artificial Intelligence. I am interested in learning AI topics in a structured way, starting from Python and data analysis up to machine learning and real-world applications. This program, with its hands-on content, hackathon, and career conference, is a great opportunity for me to develop job-ready skills and grow professionally in the AI field</t>
  </si>
  <si>
    <t>I am motivated, disciplined, and committed to continuous learning. I take learning seriously and always aim to understand concepts deeply and apply them practically. I am ready to invest the required time and effort to succeed in this scholarship, actively participate in activities, and deliver strong results throughout the program.</t>
  </si>
  <si>
    <t xml:space="preserve">Amany Mostafa Mostafa Tolba </t>
  </si>
  <si>
    <t>01062414758</t>
  </si>
  <si>
    <t>amanymostafatolba@gmail.com</t>
  </si>
  <si>
    <t>https://www.linkedin.com/in/amanyomustafa</t>
  </si>
  <si>
    <t>https://drive.google.com/open?id=1YInXnMqIZkLHnEw8zUGZ2xOu3hLMI_xd</t>
  </si>
  <si>
    <t xml:space="preserve">To improve my skills in Ai an data science </t>
  </si>
  <si>
    <t>To help me understand the field and develop my skills in it, and to learn about the job market through experienced trainers.</t>
  </si>
  <si>
    <t>Python Basics, Mathematics, Data Preprocessing, Data Analysis ( using python ), Introduction to Data Engineering ( Theoratical ), Machine Learning, MLOps ( using AWS and/or Huwawie Cloud ), All AI Topics</t>
  </si>
  <si>
    <t xml:space="preserve">No , thanks </t>
  </si>
  <si>
    <t>Mostafa Hamdy Elnagar</t>
  </si>
  <si>
    <t>01154301019</t>
  </si>
  <si>
    <t>moomnagar@gmail.com</t>
  </si>
  <si>
    <t>https://www.linkedin.com/in/mostafa-h-el-nagar-b83139377?utm_source=share&amp;utm_campaign=share_via&amp;utm_content=profile&amp;utm_medium=android_app</t>
  </si>
  <si>
    <t>https://drive.google.com/open?id=1sx6296DjYDErKKSUJY0aT4LoEQldLG1E</t>
  </si>
  <si>
    <t>I believe you should accept me because I have built my Machine Learning knowledge from scratch with strong fundamentals, not just by using ready-made tools. I took the time to understand the core concepts such as linear algebra, optimization, gradient descent, and neural networks deeply, which gives me a solid foundation to grow further in this field.</t>
  </si>
  <si>
    <t>I want this scholarship because it represents a unique opportunity to advance my Machine Learning journey under expert guidance and structured learning. I have already started learning Machine Learning on my own from scratch, but I know that professional mentorship, advanced curriculum, and collaborative environments will accelerate my growth significantly.</t>
  </si>
  <si>
    <t>Python Basics, Mathematics, Data Preprocessing, Data Analysis ( using python ), Machine Learning, Deep Learning</t>
  </si>
  <si>
    <t>CV may not look extensive yet, because I am still in my learning phase — but I have built strong fundamentals, real commitment, and a clear vision for my growth in Machine Learning</t>
  </si>
  <si>
    <t xml:space="preserve">Magdy Abdelfadeel Abotaleb Elkhateeb </t>
  </si>
  <si>
    <t>01281113647</t>
  </si>
  <si>
    <t>magdyelkhateeb444@gmail.com</t>
  </si>
  <si>
    <t>https://www.linkedin.com/in/magdy-elkhateeb-660842288</t>
  </si>
  <si>
    <t>https://drive.google.com/open?id=14bg-pkl7vjLcQ7gy2OIue31XNW-TDnc9</t>
  </si>
  <si>
    <t xml:space="preserve">عايز اتعلم حاجات متقدمة اكتر في مجال ال AI </t>
  </si>
  <si>
    <t xml:space="preserve">بتعلم بسرعة  -  ملتزم - واخد شوط كبير في المجال </t>
  </si>
  <si>
    <t xml:space="preserve">من صديق </t>
  </si>
  <si>
    <t>Introduction to Data Engineering ( Theoratical ), MLOps ( using AWS and/or Huwawie Cloud ), NLP &amp; LLMs, Computer Vision, Agentic AI, AI Tools</t>
  </si>
  <si>
    <t xml:space="preserve">Mariam Tamer Abdallattif </t>
  </si>
  <si>
    <t>01124873485</t>
  </si>
  <si>
    <t>mariamtamerabdallattif@gmail.com</t>
  </si>
  <si>
    <t>https://www.linkedin.com/in/mariam-tamer-456939255?utm_source=share&amp;utm_campaign=share_via&amp;utm_content=profile&amp;utm_medium=android_app</t>
  </si>
  <si>
    <t>https://drive.google.com/open?id=17UuB6RZ-lJQ_aIYUb7lCx_ILfUQlVUjd</t>
  </si>
  <si>
    <t xml:space="preserve">Enhance Skills to be ready for working after graduation </t>
  </si>
  <si>
    <t xml:space="preserve">It will help me to find work after graduation </t>
  </si>
  <si>
    <t xml:space="preserve">Colleague </t>
  </si>
  <si>
    <t>Python Basics, Data Preprocessing, Data Analysis ( using python ), Introduction to Data Engineering ( Theoratical ), Machine Learning, Deep Learning, MLOps ( using AWS and/or Huwawie Cloud ), NLP &amp; LLMs, Computer Vision, Agentic AI, AI Tools, All AI Topics</t>
  </si>
  <si>
    <t xml:space="preserve">Excited to this experience </t>
  </si>
  <si>
    <t xml:space="preserve">Dalia elbastawisi </t>
  </si>
  <si>
    <t>01002071688</t>
  </si>
  <si>
    <t>daliaelbastawisii@gmail.com</t>
  </si>
  <si>
    <t>https://www.linkedin.com/in/dalia-elbastawisi?utm_source=share&amp;utm_campaign=share_via&amp;utm_content=profile&amp;utm_medium=android_app</t>
  </si>
  <si>
    <t>https://drive.google.com/open?id=1LmVHDX6y_YfkICroj3AIgwEYN858Sh3L</t>
  </si>
  <si>
    <t>I want this scholarship to strengthen my knowledge in machine learning.I aim to gain practical skills that help me bridge the gap between academic studies and real-world applications, and prepare myself for future technical roles.</t>
  </si>
  <si>
    <t>I am a motivated communications engineering student with a solid background in Python and a strong interest in learning and applying AI concepts. I am committed to continuous learning, completing tasks on time, and making the most out of this scholarship to build practical skills and contribute positively to the learning environment.</t>
  </si>
  <si>
    <t>Machine Learning</t>
  </si>
  <si>
    <t>Mostafa Kamal Fahmey Mohamed</t>
  </si>
  <si>
    <t>01096539963</t>
  </si>
  <si>
    <t>mostafakamal2252002@gmail.com</t>
  </si>
  <si>
    <t>https://www.linkedin.com/in/mostafa-kamal-451138202?utm_source=share&amp;utm_campaign=share_via&amp;utm_content=profile&amp;utm_medium=android_app</t>
  </si>
  <si>
    <t>https://drive.google.com/open?id=1OOKIHOjdU8SZBrfRBhN8WXJnu6cWI_BE</t>
  </si>
  <si>
    <t>I am interested in building strong practical skills in AI that help me analyze data, build intelligent models, and apply them to real-world problems.</t>
  </si>
  <si>
    <t>I believe I will add value to this scholarship by being an active learner, a positive team member, and someone who is fully committed to benefiting from this opportunity and contributing to its success.</t>
  </si>
  <si>
    <t>linkedin</t>
  </si>
  <si>
    <t>Machine Learning, Deep Learning, MLOps ( using AWS and/or Huwawie Cloud ), NLP &amp; LLMs, Computer Vision, Agentic AI, All AI Topics</t>
  </si>
  <si>
    <t>Thanks</t>
  </si>
  <si>
    <t>Alaa Adel Harb</t>
  </si>
  <si>
    <t>01022963742</t>
  </si>
  <si>
    <t>alaaharbofficial@gmail.com</t>
  </si>
  <si>
    <t>https://www.linkedin.com/in/alaa-harb7</t>
  </si>
  <si>
    <t>https://drive.google.com/open?id=1T2JTFfnm4iLXUqbPNG6iYxiiK0eVC0vC</t>
  </si>
  <si>
    <t xml:space="preserve">I want this scholarship because I have been studying this field since the beginning and have reached a good level in it, but when I reached a certain stage, I found that free resources are limited. Of course, I have known and followed AitroniX for a long time and know that it is very strong in this field, so this scholarship is a very important step for me to continue my learning path. </t>
  </si>
  <si>
    <t>I have a fairly strong background in the field and was on a DEPI scholarship. My graduation project received an excellent evaluation. I will be committed and very interested in attendance dates and tasks, and I will be one of the people who will add a better reputation to this place, not one of the people who could harm it. I will be proud to be one of AitroniX's students.</t>
  </si>
  <si>
    <t>From  LinkedIn</t>
  </si>
  <si>
    <t>MLOps ( using AWS and/or Huwawie Cloud ), NLP &amp; LLMs, Computer Vision, Agentic AI</t>
  </si>
  <si>
    <t>This place is truly one of the best I've heard of in this field. I have many friends who thank you. Thank you all.</t>
  </si>
  <si>
    <t xml:space="preserve">Ibrahim gamal sharara </t>
  </si>
  <si>
    <t>+201090020472</t>
  </si>
  <si>
    <t>ibrahim.g.sharara@gmail.com</t>
  </si>
  <si>
    <t>https://www.linkedin.com/in/ibrahim-sharara</t>
  </si>
  <si>
    <t>https://drive.google.com/open?id=1YiZsihuFtRwBs41GAxQ7uM8AaQc7iB9D</t>
  </si>
  <si>
    <t xml:space="preserve">To shift to ai career </t>
  </si>
  <si>
    <t xml:space="preserve">I have good knowledge and experience.also participated on problem solving contest for my university and ecpc too </t>
  </si>
  <si>
    <t xml:space="preserve">From Facebook </t>
  </si>
  <si>
    <t xml:space="preserve">Kareem Abdelnasser Mohamed </t>
  </si>
  <si>
    <t>01097882594</t>
  </si>
  <si>
    <t>kareemabdelnasser6@gmail.com</t>
  </si>
  <si>
    <t>https://www.linkedin.com/in/kareem-abd-elnasser-b0a298283?utm_source=share&amp;utm_campaign=share_via&amp;utm_content=profile&amp;utm_medium=android_app</t>
  </si>
  <si>
    <t>https://drive.google.com/open?id=1ACHVbqlTffwcdyl2GQtKc_hMdklqY8c6</t>
  </si>
  <si>
    <t xml:space="preserve">To gain more skills in the field of Artificial intelligence, building new relationships, and learning from highly experienced individuals. </t>
  </si>
  <si>
    <t xml:space="preserve">Because I have the passion, commitment, and persistence to learn, and I am very passionate about this field and see my future in it. </t>
  </si>
  <si>
    <t>Rawda labib</t>
  </si>
  <si>
    <t>01033540037</t>
  </si>
  <si>
    <t>Rawdalabib5@gmail.com</t>
  </si>
  <si>
    <t>https://www.linkedin.com/in/rawda-labib-3b4b1924b</t>
  </si>
  <si>
    <t>https://drive.google.com/open?id=13_aaoa6-DN4GeZJlXjv9zZ7vUyc9SEmO</t>
  </si>
  <si>
    <t>I want this scholarship because I am genuinely interested in Artificial Intelligence and its real-world applications, especially in solving practical and impactful problems. This scholarship will help me build strong fundamentals, gain hands-on experience, and learn from experts in the field. I see it as an important step to enhance my technical skills and move closer to my career goals in AI.</t>
  </si>
  <si>
    <t>You should accept me because I am highly motivated, committed to learning, and willing to put real effort into this opportunity. I have a strong curiosity for AI, a problem-solving mindset, and I enjoy applying what I learn in practical projects. I am also eager to collaborate, participate actively, and make the most out of this scholarship, not only for my personal growth but also to create positive impact through AI solutions.</t>
  </si>
  <si>
    <t>Mathematics, Data Preprocessing, Data Analysis ( using python ), Machine Learning, Deep Learning, MLOps ( using AWS and/or Huwawie Cloud ), NLP &amp; LLMs, All AI Topics</t>
  </si>
  <si>
    <t>No, thanks</t>
  </si>
  <si>
    <t>Mohammad Ahmed Ayman</t>
  </si>
  <si>
    <t>01276486568</t>
  </si>
  <si>
    <t>mohammadmagico@gmail.com</t>
  </si>
  <si>
    <t>www.linkedin.com/in/mohammad-al-mukadam</t>
  </si>
  <si>
    <t>https://drive.google.com/open?id=1_zggP85YISU_LToqUoErn-3JYcYmbGhr</t>
  </si>
  <si>
    <t>Because I want to begin a career in AI and Data Science</t>
  </si>
  <si>
    <t>Because I Work hard with comitment for my sessions and tasks , and I have goal to achieve</t>
  </si>
  <si>
    <t>N/A</t>
  </si>
  <si>
    <t>Mohamed samir</t>
  </si>
  <si>
    <t>01201329183</t>
  </si>
  <si>
    <t>m.samir2264@nu.edu.eg</t>
  </si>
  <si>
    <t>https://www.linkedin.com/in/mohamed-samir-0966a5352</t>
  </si>
  <si>
    <t>https://drive.google.com/open?id=1QQVLd0EijDwtd0a4FOOm69T0yOgFP5dD</t>
  </si>
  <si>
    <t xml:space="preserve">Iam a cs student my major is Ai i need it to make me better in my work field </t>
  </si>
  <si>
    <t xml:space="preserve">Iam a cs student and major is Ai </t>
  </si>
  <si>
    <t>Abdel-Rahman El-Shenawy Abdel-Gawad</t>
  </si>
  <si>
    <t>01017980478</t>
  </si>
  <si>
    <t>abdoalsenawework@gmail.com</t>
  </si>
  <si>
    <t>https://www.linkedin.com/in/abdotech?utm_source=share_via&amp;utm_content=profile&amp;utm_medium=member_ios</t>
  </si>
  <si>
    <t>https://drive.google.com/open?id=1cBQQrX3VkIwwtfMcsiIkhd7fYMN3nuHi</t>
  </si>
  <si>
    <t>In order to develop my skills, learn more, and expand my knowledge in the field</t>
  </si>
  <si>
    <t>Interested in the field of artificial intelligence and everything related to it and I love exploration and research</t>
  </si>
  <si>
    <t>Mathematics, Introduction to Data Engineering ( Theoratical ), Deep Learning, MLOps ( using AWS and/or Huwawie Cloud ), NLP &amp; LLMs, Computer Vision, Agentic AI, AI Tools</t>
  </si>
  <si>
    <t>هل متاح اني اقسم المبلغ على دفعتين</t>
  </si>
  <si>
    <t>Radwa Elshater</t>
  </si>
  <si>
    <t>01099600480</t>
  </si>
  <si>
    <t>radwaelshater74@gmail.com</t>
  </si>
  <si>
    <t>www.linkedin.com/in/radwa-elshater-654b47368</t>
  </si>
  <si>
    <t>https://drive.google.com/open?id=1RnOMqoDAWLXpGkWQV9PVd5Hkp3Ic_tLb</t>
  </si>
  <si>
    <t>To improve my skills and to join a community full of knowledge and learning opportunities.</t>
  </si>
  <si>
    <t>Because I have practical experience through my projects, I am highly motivated and passionate about learning, and I will fully commit to making the most out of this opportunity, InshaaAllah.</t>
  </si>
  <si>
    <t>Introduction to Data Engineering ( Theoratical ), Deep Learning, MLOps ( using AWS and/or Huwawie Cloud ), NLP &amp; LLMs, Computer Vision, Agentic AI, AI Tools</t>
  </si>
  <si>
    <t xml:space="preserve">Thx </t>
  </si>
  <si>
    <t>Ammar Essam Eldin</t>
  </si>
  <si>
    <t>01025660805</t>
  </si>
  <si>
    <t>amaressam2000@gmail.com</t>
  </si>
  <si>
    <t>https://www.linkedin.com/in/ammar-essam-84b47a2b7/</t>
  </si>
  <si>
    <t>https://drive.google.com/open?id=1jYmbvA1yyO0S75yrVpRonEoVKkegf50b</t>
  </si>
  <si>
    <t>it will give me the opportunity to deepen my knowledge of Artificial Intelligence and apply it to real-world problems.</t>
  </si>
  <si>
    <t>I will actively engage in the program, make the most of mentorship and resources, and contribute positively to the learning community. I see this scholarship as a responsibility as much as an opportunity, and I am ready to honor it through hard work, consistency, and meaningful outcomes.</t>
  </si>
  <si>
    <t>Mohamed Nasr Ibrahim</t>
  </si>
  <si>
    <t>01276977748</t>
  </si>
  <si>
    <t>medoox369@gmail.com</t>
  </si>
  <si>
    <t>https://www.linkedin.com/in/medoox369</t>
  </si>
  <si>
    <t>https://drive.google.com/open?id=1MrHh-ThQpUghmN4r2LBWxySEoPrZeyPV</t>
  </si>
  <si>
    <t>As a Data Science professional, I want this scholarship to strengthen my transition into Artificial Intelligence. I aim to deepen my understanding of advanced AI concepts and gain hands-on experience that will help me apply AI solutions to real-world problems and grow professionally in the AI field.</t>
  </si>
  <si>
    <t>I have a strong background in Data Science and a clear goal to specialize in Artificial Intelligence. I am highly committed to learning, applying concepts through hands-on practice, and delivering high-quality work. I believe my analytical mindset, consistency, and passion for AI will allow me to add value to the scholarship and fully benefit from its opportunities.</t>
  </si>
  <si>
    <t>Mina aied karam</t>
  </si>
  <si>
    <t>01210000535</t>
  </si>
  <si>
    <t>Minaayed741@gmail.com</t>
  </si>
  <si>
    <t>Mina aied</t>
  </si>
  <si>
    <t>https://drive.google.com/open?id=1QB0nBaFdGbyyj9W4mzEIEcjp4941M2Cc</t>
  </si>
  <si>
    <t xml:space="preserve">Shift my career </t>
  </si>
  <si>
    <t xml:space="preserve">Iam very ambitious and want to learn to help people </t>
  </si>
  <si>
    <t>Data Preprocessing, Data Analysis ( using python ), Machine Learning, Deep Learning, MLOps ( using AWS and/or Huwawie Cloud ), Agentic AI, AI Tools</t>
  </si>
  <si>
    <t>Moaaz Zaki Mohamed Zaki</t>
  </si>
  <si>
    <t>01097674852</t>
  </si>
  <si>
    <t>moaazzakizewied@gmail.com</t>
  </si>
  <si>
    <t>https://www.linkedin.com/in/moaaz-zaki-495309303?utm_source=share_via&amp;utm_content=profile&amp;utm_medium=member_ios</t>
  </si>
  <si>
    <t>https://drive.google.com/open?id=1PqsBeeIMG2HDbqBjtpv2qHPFl8zhoDA8</t>
  </si>
  <si>
    <t>لأني عايز أبدا في مجال الذكاء الاصطناعي و مش عايز أتشتت بين مصادر كتير ف هتكون المنحة ديه مناسبة ليا أنها اكتسب معرفة كبيرة في مجال الذكاء الاصطناعي</t>
  </si>
  <si>
    <t xml:space="preserve">هو أنا مش عارف شروط القبول بس ممكن لتفوقي الدراسي أنا الرابع علي دفعتي و total GPA 3.85 ده غير أني لما بركز في حاجة بديها وقتي كله يعني قبل ما اقرر اني هبدا AI كنت بتعلم embedded و فترة قصيرة جدا من ٢ ل ٣ شهور وصلت لمرحلة متقدمة ناس بتوصلها بعد ٥ شهور كورسات و اتقبلت في تدريب في شركة IOT و قدرت أواكب الشغل رغم اني كنت اصغر واحد فيهم </t>
  </si>
  <si>
    <t xml:space="preserve">لو سنة كاملة افضل ان تكون المحاضرات علشان هيكون في ٨ شهور دراسة فنقدر نواكب بين الاثنين </t>
  </si>
  <si>
    <t>Mohamed Helmy Elsayed Kroush</t>
  </si>
  <si>
    <t>01124992797</t>
  </si>
  <si>
    <t>medohelmy944@gmail.com</t>
  </si>
  <si>
    <t>https://www.linkedin.com/in/mohamedhelmy24/</t>
  </si>
  <si>
    <t>https://drive.google.com/open?id=1FBW5sLaFqYobqT-pNQHn732LKD6FZn94</t>
  </si>
  <si>
    <t>I want this scholarship to deepen my expertise in AI and Data Science, especially in generative AI, and to gain industry-oriented training with Huawei technologies. With my strong academic background and prior hands-on experience, this scholarship will help me transform my knowledge into scalable, real-world solutions that create meaningful impact, particularly in education and digital transformation.</t>
  </si>
  <si>
    <t>I should be accepted because I have a strong academic background in AI and Data Science, hands-on experience with real projects, and a clear commitment to applying AI technologies—especially Huawei solutions—to solve real-world problems and create measurable impact.</t>
  </si>
  <si>
    <t>Linkedin</t>
  </si>
  <si>
    <t>Python Basics, Mathematics, Data Preprocessing, Data Analysis ( using python ), Introduction to Data Engineering ( Theoratical ), Machine Learning, Deep Learning, NLP &amp; LLMs, Computer Vision, Agentic AI, AI Tools, All AI Topics</t>
  </si>
  <si>
    <t>I am very excited to have an experience with Huawei technologies.</t>
  </si>
  <si>
    <t xml:space="preserve">Amr hussein Kamal </t>
  </si>
  <si>
    <t>+201006546843</t>
  </si>
  <si>
    <t>Amrwww6@gmail.com</t>
  </si>
  <si>
    <t>https://www.linkedin.com/in/amr-hussein-8b5aa9227</t>
  </si>
  <si>
    <t>https://drive.google.com/open?id=1sJZ7t4-keRnNe7UzYC3i-Dj_4ldv3jaY</t>
  </si>
  <si>
    <t>أرغب في الحصول على هذه المنحة لأنها تمثل فرصة حقيقية لتطوير مهاراتي الأكاديمية والعملية في مجال دراستي، واكتساب معرفة متقدمة تساعدني على تحقيق أهدافي المهنية. هذه المنحة ستُمكنني من التعلم في بيئة محفزة، وتوسيع مداركي، والمساهمة لاحقًا في خدمة مجتمعي ونقل الخبرات التي سأكتسبها إلى الآخرين.</t>
  </si>
  <si>
    <t>لأنني شخص ملتزم وجاد في التعلم، أمتلك الدافع القوي للاستفادة القصوى من هذه الفرصة. أتميز بالانضباط، والقدرة على العمل تحت الضغط، والتعلم الذاتي المستمر. كما أن لدي رؤية واضحة لمستقبلي، وأسعى لتطبيق ما أتعلمه بشكل عملي يعود بالنفع عليّ وعلى المؤسسة والمجتمع.</t>
  </si>
  <si>
    <t xml:space="preserve">Eng Ahmed Hafze on Facebook </t>
  </si>
  <si>
    <t xml:space="preserve">Thanks </t>
  </si>
  <si>
    <t xml:space="preserve">Abdallah Reda Elsayed Ghamry </t>
  </si>
  <si>
    <t>01019571158</t>
  </si>
  <si>
    <t>abdreda4444@gmail.com</t>
  </si>
  <si>
    <t>https://www.linkedin.com/in/abdallahreda42/</t>
  </si>
  <si>
    <t>https://drive.google.com/open?id=149zqTrxnSkfN5aqXijU9yIbbSpegxtx2</t>
  </si>
  <si>
    <t>I want this scholarship because it will give me structured, in-depth learning in AI and data-related fields that are essential for building real-world, impactful solutions. While I have a strong interest in data and artificial intelligence, this scholarship will help me strengthen both my theoretical foundation and practical skills, learn from experts, and work on hands-on projects that prepare me for advanced professional and research opportunities.</t>
  </si>
  <si>
    <t>You should accept me because I am highly motivated, disciplined, and committed to fully benefiting from this opportunity. I have a strong passion for data science and AI, and I consistently invest time in learning, practicing, and improving my skills. I am goal-oriented, actively apply what I learn, and aim to use my knowledge to solve real problems and share value with the community. I am confident I will make the most out of this scholarship and represent the program positively.</t>
  </si>
  <si>
    <t xml:space="preserve">Randa Lakab </t>
  </si>
  <si>
    <t>+213 552554474</t>
  </si>
  <si>
    <t>lakabranda@gmail.com</t>
  </si>
  <si>
    <t>https://www.linkedin.com/in/randa-lakab-4b9125389?utm_source=share&amp;utm_campaign=share_via&amp;utm_content=profile&amp;utm_medium=android_app</t>
  </si>
  <si>
    <t>https://drive.google.com/open?id=1qJir4-YN6dOvj9rojhm7PijIfPoTAHTz</t>
  </si>
  <si>
    <t xml:space="preserve">I'm a data science student so this scholarship will help me a lot in my field </t>
  </si>
  <si>
    <t xml:space="preserve">I'm a committed student , with high time management, adaptability, yeam work and big love of continuos learning </t>
  </si>
  <si>
    <t>Python Basics, Data Preprocessing, Data Analysis ( using python ), Introduction to Data Engineering ( Theoratical ), Machine Learning, Deep Learning, NLP &amp; LLMs, Computer Vision, Agentic AI, AI Tools</t>
  </si>
  <si>
    <t xml:space="preserve">Thanks a lot , we really appreciate this opportunity </t>
  </si>
  <si>
    <t>Sara Ehab Hamdy Elgazzar</t>
  </si>
  <si>
    <t>01202691695</t>
  </si>
  <si>
    <t>saraelgazzarcs50@gmail.com</t>
  </si>
  <si>
    <t>linkedin.com/in/sara-ehab-5969863a6</t>
  </si>
  <si>
    <t>https://drive.google.com/open?id=1A6hKeZJjngnbHpwhD9aJrn8wQL8jGXKP</t>
  </si>
  <si>
    <t xml:space="preserve">to learn Ai from basics to advanced with trusted company to improve my skills and to make my one projects </t>
  </si>
  <si>
    <t xml:space="preserve">this is not my first time in studying AI , I joined many trainings for AI some of them with ITI collaboration with NVIDA and athers form Huawie like HCCDA AI ,HCCDA Tech essentials I joined there national exams and I passed both of them and I gained the certificates , now I am completing my journy by studying machine learning , I will do my best to be the top student </t>
  </si>
  <si>
    <t>HCDG giza on linked in</t>
  </si>
  <si>
    <t xml:space="preserve">no </t>
  </si>
  <si>
    <t xml:space="preserve">Abdelrahman </t>
  </si>
  <si>
    <t>01551102413</t>
  </si>
  <si>
    <t>abdelrahmansaid07@gmail.com</t>
  </si>
  <si>
    <t>Na</t>
  </si>
  <si>
    <t>https://drive.google.com/open?id=1ZnxshsDrTQbDfwepP2YYQSERB4xylCyv</t>
  </si>
  <si>
    <t xml:space="preserve">To improve my skills </t>
  </si>
  <si>
    <t>I graduated from faculty of AI and I have impressive experience in this field with really passion with it</t>
  </si>
  <si>
    <t>MLOps ( using AWS and/or Huwawie Cloud )</t>
  </si>
  <si>
    <t>Youssef Ashraf Sayed Ahmed Kandil</t>
  </si>
  <si>
    <t>01065002653</t>
  </si>
  <si>
    <t>youssefkandil872@gmail.com</t>
  </si>
  <si>
    <t>https://www.linkedin.com/in/y-kandil?utm_source=share&amp;utm_campaign=share_via&amp;utm_content=profile&amp;utm_medium=android_app</t>
  </si>
  <si>
    <t>https://drive.google.com/open?id=1NzVFr33QT8FlQAZShYAK0EArKP14yKFP</t>
  </si>
  <si>
    <t>I would like to develop my skills in Ai And learn advanced topics in it.</t>
  </si>
  <si>
    <t>I love this field very much and I'm a huge fan of it, and I want someone to give me accurate information that will qualify me to work on advanced AI models</t>
  </si>
  <si>
    <t xml:space="preserve">I previously learned from Engineer Ahmed Hafez when he was on InstaNet, and I am one of his biggest fans and followers, as well as a follower of his company, and I'm excited about anything coming from him. </t>
  </si>
  <si>
    <t>Machine Learning, Deep Learning, MLOps ( using AWS and/or Huwawie Cloud ), NLP &amp; LLMs, Computer Vision, Agentic AI, AI Tools, All AI Topics</t>
  </si>
  <si>
    <t>Mohamed Refaat Mohamed</t>
  </si>
  <si>
    <t>01129637981</t>
  </si>
  <si>
    <t>Mr9820862@gmail.com</t>
  </si>
  <si>
    <t>https://www.linkedin.com/in/mohamed-refaat-7a96aa245?utm_source=share&amp;utm_campaign=share_via&amp;utm_content=profile&amp;utm_medium=android_app</t>
  </si>
  <si>
    <t>https://drive.google.com/open?id=1eNXV0TJMSwnqwxXhHP5VmkrStpfyDSeV</t>
  </si>
  <si>
    <t>My track is Ai</t>
  </si>
  <si>
    <t>I interested in this course</t>
  </si>
  <si>
    <t>Eng Ahmed havez</t>
  </si>
  <si>
    <t>.</t>
  </si>
  <si>
    <t xml:space="preserve">Maryam Ashraf Attya </t>
  </si>
  <si>
    <t>01025787337</t>
  </si>
  <si>
    <t>Maryamattia19@gmail.com</t>
  </si>
  <si>
    <t>https://www.linkedin.com/in/maryam-a-595890204?utm_source=share&amp;utm_campaign=share_via&amp;utm_content=profile&amp;utm_medium=android_app</t>
  </si>
  <si>
    <t>https://drive.google.com/open?id=1pEKoAwibGfOojboNfjqczI12Wwn2e-kg</t>
  </si>
  <si>
    <t xml:space="preserve">Becasuse I want to improve my skills in this topics and work on real projects </t>
  </si>
  <si>
    <t>Because I love learning and continuous development, and I can work under pressure.</t>
  </si>
  <si>
    <t>Data Preprocessing, Data Analysis ( using python ), Introduction to Data Engineering ( Theoratical ), Machine Learning, Deep Learning, MLOps ( using AWS and/or Huwawie Cloud ), NLP &amp; LLMs, Computer Vision, Agentic AI, AI Tools</t>
  </si>
  <si>
    <t xml:space="preserve">mostafa mahmoud mostafa elafify </t>
  </si>
  <si>
    <t>01008634719</t>
  </si>
  <si>
    <t>allhamt73@gmail.com</t>
  </si>
  <si>
    <t>https://www.linkedin.com/in/mostafa-al-afify-bb99bb376</t>
  </si>
  <si>
    <t>https://drive.google.com/open?id=1QjTVQyTbw-dth5MJpJWG0E_G6zNK5nvl</t>
  </si>
  <si>
    <t>No, this field is dominant now, and I want to be distinguished in it</t>
  </si>
  <si>
    <t>For the existence of passion and love for this field and a love of excellence in it</t>
  </si>
  <si>
    <t>thanks</t>
  </si>
  <si>
    <t xml:space="preserve">Mohamed Hamada </t>
  </si>
  <si>
    <t>01099234374</t>
  </si>
  <si>
    <t>7aranka42005@gmail.com</t>
  </si>
  <si>
    <t>https://www.linkedin.com/in/mohamedhamada10</t>
  </si>
  <si>
    <t>https://drive.google.com/open?id=1JC0f1ARpOGTHPRTmzUPlucehAh-Uw8qk</t>
  </si>
  <si>
    <t>because it will support my study and my career</t>
  </si>
  <si>
    <t xml:space="preserve">Because i'm hard worker, disciplined , i can handle the pressure, i can think creatively </t>
  </si>
  <si>
    <t>Python Basics, Mathematics, Data Preprocessing, Data Analysis ( using python ), Machine Learning, Deep Learning, NLP &amp; LLMs, Computer Vision, Agentic AI, AI Tools, All AI Topics</t>
  </si>
  <si>
    <t xml:space="preserve">Nada khaled Ahmed Bastawi </t>
  </si>
  <si>
    <t>+201289455213</t>
  </si>
  <si>
    <t>nada.bastawi@ejust.edu.eg</t>
  </si>
  <si>
    <t>https://www.linkedin.com/in/nada-bastawi-4a4621278?utm_source=share&amp;utm_campaign=share_via&amp;utm_content=profile&amp;utm_medium=android_app</t>
  </si>
  <si>
    <t>https://drive.google.com/open?id=1VA5-4hceJaiR_BrWtvdI04i50widh5PT</t>
  </si>
  <si>
    <t>This scholarship aligns perfectly with my goal of building production-ready AI solutions and preparing myself for the job market through hands-on learning, hackathons, and industry exposure.</t>
  </si>
  <si>
    <t>You should accept me because I am highly committed, disciplined, and genuinely passionate about Artificial Intelligence. I don’t treat learning as a certificate-only process—I focus on understanding, implementation, and real outcomes.
I already have hands-on experience working on AI and machine learning projects, which allows me to benefit fully from the scholarship content and contribute positively to group discussions, hackathons, and collaborative work.</t>
  </si>
  <si>
    <t>MLOps ( using AWS and/or Huwawie Cloud ), NLP &amp; LLMs, Agentic AI, AI Tools</t>
  </si>
  <si>
    <t xml:space="preserve">Samaa Mohamed saeed </t>
  </si>
  <si>
    <t>01061209654</t>
  </si>
  <si>
    <t>samaahassanein@gmail.com</t>
  </si>
  <si>
    <t>https://www.linkedin.com/in/samaa-hassanein-7a47033a1?utm_source=share&amp;utm_campaign=share_via&amp;utm_content=profile&amp;utm_medium=android_app</t>
  </si>
  <si>
    <t>https://drive.google.com/open?id=1CoYT0cKbwEt--n4B7sEKEefYOQOQemty</t>
  </si>
  <si>
    <t>To develop my knowledge and skills and I want to enhance my technical skills to have an opportunity to work after my graduation ,it will be guideline for me for my dream job</t>
  </si>
  <si>
    <t>You should accept me because I am highly motivated to build a strong career in the field of Artificial Intelligence and  passionate about AI . I already have a foundation from an Introduction to AI course with instructor Ahmed Hafez, and this scholarship would help me advance my knowledge and skills.
During this time, I took additional AI and related courses in AI through NTI, ITI, and Coursera, reflecting my strong commitment to learning  in AI.Since I will graduate in May, I will be fully available and highly committed to making the most of this opportunity.
I will have the time and focus  to study seriously, apply what I learn, and make the most of this opportunity
I believe this scholarship will be a key step in guiding me toward a clear and professional career path in AI.</t>
  </si>
  <si>
    <t>I heard about you through Aitronix, as I previously took the Introduction to AI course with instructor Ahmed Hafez. The course helped me understand essential AI fundamentals and motivated me to continue learning. I am also part of the Aitronix AI WhatsApp community and would be grateful for this scholarship opportunity.</t>
  </si>
  <si>
    <t>Thank you for reviewing my application. I am truly motivated and excited to learn and grow through this opportunity.</t>
  </si>
  <si>
    <t>Muhammad Ehab Muhammad Khalil</t>
  </si>
  <si>
    <t>01020483625</t>
  </si>
  <si>
    <t>ehabmuhammad910@gmail.com</t>
  </si>
  <si>
    <t>https://www.linkedin.com/in/muhammad-ehab-khalil/</t>
  </si>
  <si>
    <t>https://drive.google.com/open?id=18ueT5UiwwiNy8-cRfj9ptMLX1paH5c9q</t>
  </si>
  <si>
    <t>To Start my career in Machine Learning and AI Fields as i target to complete my studies and get a master scholarship abroad from Egypt so this course will enhance my skills</t>
  </si>
  <si>
    <t xml:space="preserve">I have a professional experience as data analyst at PharmaOverseas as leading company in pharmaceutical distribution fields. i take previous course with Eng. Ahmed Hafez in AI so i need this course to shift y career to Machine Learning and to Increase my chance to get master degree scholarship away from Egypt so i have to get solid foundation of AI. </t>
  </si>
  <si>
    <t>Thanks a lot</t>
  </si>
  <si>
    <t xml:space="preserve">Mohamed Ahmed ALMansoury </t>
  </si>
  <si>
    <t>01090367641</t>
  </si>
  <si>
    <t>mohamedpt911@gmail.com</t>
  </si>
  <si>
    <t>https://www.linkedin.com/in/mohamedalmansoury/</t>
  </si>
  <si>
    <t>https://drive.google.com/open?id=1D_ZCEYRz2CjhqwCUHZ6EG69JJw_nQWwS</t>
  </si>
  <si>
    <t xml:space="preserve">Learning </t>
  </si>
  <si>
    <t xml:space="preserve">To learn </t>
  </si>
  <si>
    <t>Mschinfy</t>
  </si>
  <si>
    <t>Introduction to Data Engineering ( Theoratical ), MLOps ( using AWS and/or Huwawie Cloud ), NLP &amp; LLMs, Computer Vision, Agentic AI, AI Tools, All AI Topics</t>
  </si>
  <si>
    <t xml:space="preserve">Mahmoud Mohammed Ali </t>
  </si>
  <si>
    <t>01125860053</t>
  </si>
  <si>
    <t>mahmoudsleem370@gmail.com</t>
  </si>
  <si>
    <t>https://www.linkedin.com/in/mahmoud-sleem0?utm_source=share&amp;utm_campaign=share_via&amp;utm_content=profile&amp;utm_medium=android_app</t>
  </si>
  <si>
    <t>https://drive.google.com/open?id=1dHK1MyOkCcEcHgnyYozkMQYer3Vt55-n</t>
  </si>
  <si>
    <t>To advance and find job opportunities</t>
  </si>
  <si>
    <t>Fast learner and flexible</t>
  </si>
  <si>
    <t xml:space="preserve">My friend </t>
  </si>
  <si>
    <t>Data Analysis ( using python ), Introduction to Data Engineering ( Theoratical ), Machine Learning</t>
  </si>
  <si>
    <t>omar eltaweel</t>
  </si>
  <si>
    <t>01026363117</t>
  </si>
  <si>
    <t>omar.aly.3t@gmail.com</t>
  </si>
  <si>
    <t xml:space="preserve">No one </t>
  </si>
  <si>
    <t>https://drive.google.com/open?id=1MtpsY3w5UfCBj2guBRx2VLiybwpAnC9b</t>
  </si>
  <si>
    <t xml:space="preserve">I wont to learn </t>
  </si>
  <si>
    <t>AI Tools</t>
  </si>
  <si>
    <t xml:space="preserve">Abdelrahman Mohamed Ahmed </t>
  </si>
  <si>
    <t>01158499902</t>
  </si>
  <si>
    <t>abdelrahmqn.official@gmail.com</t>
  </si>
  <si>
    <t>https://www.linkedin.com/in/abdelrahmqn-mohamed</t>
  </si>
  <si>
    <t>https://drive.google.com/open?id=19fDfmx1X7aGHPhXViB6C4brpWCIEG0Ph</t>
  </si>
  <si>
    <t>انا اريد دراسة هذه المنحه لان شغفي بالتكنولوجيا والذكاء الاصطناعي في زياده مستمرة. المنحه ستساعدني في بناء ملف cv قوي اقدر بيه اكون منافس قوي واكون خريج جاهز لسوق العمل وممكن تكون فرصه ذهبيه تخليني اخش سوق العمل.</t>
  </si>
  <si>
    <t>انا طالب مستعد اواجه اي تحديات وبحب التعلم وانا شايف ان المنحة دي فرصه ممتازة اطور بيها مهاراتي واصقل مهاراتي في الذكاء الاصطناعي واكون قوي جدا ويكون مُعترف بيا في سوق العمل. وشايف فرصة كبيرة اني هضيف للمجتمع الكثير. ومستعد ان تكون هذه المنحه تكون من ضمن رحلتي في اتقان مجال الذكاء الاصطناعي.</t>
  </si>
  <si>
    <t>Linked in</t>
  </si>
  <si>
    <t>لا شكرا</t>
  </si>
  <si>
    <t xml:space="preserve">Sama NegmElDine Ahmad Khairy </t>
  </si>
  <si>
    <t>01117456762</t>
  </si>
  <si>
    <t>nimonigm@gmail.com</t>
  </si>
  <si>
    <t>https://www.linkedin.com/in/sama-nigm-el-dine-b77895281?utm_source=share&amp;utm_campaign=share_via&amp;utm_content=profile&amp;utm_medium=android_app</t>
  </si>
  <si>
    <t>https://drive.google.com/open?id=1JCPvoxUoFVLW7GM6BarM6b6VRNf0764u</t>
  </si>
  <si>
    <t>I have a crazy passion for intelligence. Geniuses and their stories fascinate me, and since all of this stems from the mind, I was dying to study it and explore it further, but I couldn't. As soon as I learned about a track that makes machines as intelligent as humans, it was definitely my choice. When I started, I realized there are some differences, but I'm still interested in developing myself and understanding it better.</t>
  </si>
  <si>
    <t>I am a quick and good learner, highly responsible, appreciate valuable opportunities, and am intelligent.</t>
  </si>
  <si>
    <t xml:space="preserve">Friend and linked in </t>
  </si>
  <si>
    <t>Mathematics, MLOps ( using AWS and/or Huwawie Cloud ), NLP &amp; LLMs, Computer Vision, Agentic AI, All AI Topics</t>
  </si>
  <si>
    <t>I don't have but thanks for the scholarship</t>
  </si>
  <si>
    <t xml:space="preserve">Ahmed Hamdy Ahmed </t>
  </si>
  <si>
    <t>01555527819</t>
  </si>
  <si>
    <t>ahmd.hmdy1996@gmail.com</t>
  </si>
  <si>
    <t>www.linkedin.com/in/ahmed-diboo</t>
  </si>
  <si>
    <t>https://drive.google.com/open?id=1zdjaHk-7xnQLi8UzzIrzdT999gHyJKiK</t>
  </si>
  <si>
    <t xml:space="preserve">Self improvement </t>
  </si>
  <si>
    <t xml:space="preserve">To help me improve </t>
  </si>
  <si>
    <t>Python Basics, Machine Learning, Deep Learning, Agentic AI</t>
  </si>
  <si>
    <t xml:space="preserve">Aya Mohamed Hussien </t>
  </si>
  <si>
    <t>01018867663</t>
  </si>
  <si>
    <t>ayahussien694@gmail.com</t>
  </si>
  <si>
    <t>https://www.linkedin.com/in/aya-hussien-5ba033229?utm_source=share&amp;utm_campaign=share_via&amp;utm_content=profile&amp;utm_medium=android_app</t>
  </si>
  <si>
    <t>https://drive.google.com/open?id=1PRbvSKWZv8Y1Jgn7lT2aGXzY35j-lWXf</t>
  </si>
  <si>
    <t>To learn ai</t>
  </si>
  <si>
    <t xml:space="preserve">Lenda Alaaeldin Mohamed Deif </t>
  </si>
  <si>
    <t>01095252061</t>
  </si>
  <si>
    <t>lendadeif277@gmail.com</t>
  </si>
  <si>
    <t>https://www.linkedin.com/me?trk=p_mwlite_feed-secondary_nav</t>
  </si>
  <si>
    <t>https://drive.google.com/open?id=1EavC_qF53e5tlNLfwzsWCcPEfPFHmNnm</t>
  </si>
  <si>
    <t>I am eager to enhance my skills in artificial intelligence. I am particularly interested in delving into deep learning and developing practical projects to gain the necessary qualifications for my job application.</t>
  </si>
  <si>
    <t xml:space="preserve">I’m eager to enhance my skills and am particularly interested in artificial intelligence. I believe this is an excellent opportunity for me to learn and share my knowledge with others. </t>
  </si>
  <si>
    <t>Deep Learning, MLOps ( using AWS and/or Huwawie Cloud ), NLP &amp; LLMs, Computer Vision, Agentic AI, AI Tools</t>
  </si>
  <si>
    <t>Mennat-Allah Kamal Kamel Abdallah</t>
  </si>
  <si>
    <t>01143394445</t>
  </si>
  <si>
    <t>mennakamel4445@gmail.com</t>
  </si>
  <si>
    <t>www.linkedin.com/in/mennakamel1</t>
  </si>
  <si>
    <t>https://drive.google.com/open?id=1sJkKYjHdu4QLSCW0XxCmSdwUvL6drWOC</t>
  </si>
  <si>
    <t>to gain more experience</t>
  </si>
  <si>
    <t>as I have experience in ai</t>
  </si>
  <si>
    <t>linkedIn</t>
  </si>
  <si>
    <t>no thanks</t>
  </si>
  <si>
    <t xml:space="preserve">Hazem Ashraf Mahmoud Ahmed Bassiouni </t>
  </si>
  <si>
    <t>01061455851</t>
  </si>
  <si>
    <t>hazembassiouni24@gmail.com</t>
  </si>
  <si>
    <t>https://www.linkedin.com/in/hazem-bassiouni</t>
  </si>
  <si>
    <t>https://drive.google.com/open?id=1pGuOd4IKbEhHMwtrEDEoqoo4fQ6GBFKO</t>
  </si>
  <si>
    <t xml:space="preserve">I want to improve my skills, And get real hands-on experience applying what I have learned to real projects. </t>
  </si>
  <si>
    <t>Because I have a strong foundation in AI/ML, I learn fast, and I’m motivated to contribute from day one. I’m reliable, detail-oriented, and excited to turn ideas into working solutions</t>
  </si>
  <si>
    <t>Because I have a strong foundation in AI/ML, I am a fast learner, and I am dedicated and motivated to contribute to turn ideas into real solution.</t>
  </si>
  <si>
    <t>I can assure you I’ll always do my best to learn fast and contribute</t>
  </si>
  <si>
    <t>Mohamed Mahmoud Abdelbasset</t>
  </si>
  <si>
    <t>01069288872</t>
  </si>
  <si>
    <t>medoahlawy8@gmail.com</t>
  </si>
  <si>
    <t>https://www.linkedin.com/in/mohamed-mahmoud-72a1a6310?utm_source=share&amp;utm_campaign=share_via&amp;utm_content=profile&amp;utm_medium=android_app</t>
  </si>
  <si>
    <t>https://drive.google.com/open?id=1p2APDAdq20J83H8wywPba_6qJYDKYOiU</t>
  </si>
  <si>
    <t xml:space="preserve">To learn and practice some topics i want understand and practice it technical </t>
  </si>
  <si>
    <t>I have some experience about ai topics as machine learning fundamentals and deep learning fundamentals and i have stronge base math and statistics</t>
  </si>
  <si>
    <t>Ahmed Mohamed kamel</t>
  </si>
  <si>
    <t>ahmed.mohamedmed1111@gmail.com</t>
  </si>
  <si>
    <t>https://www.linkedin.com/in/ahmed-mohamed-kamel</t>
  </si>
  <si>
    <t>https://drive.google.com/open?id=16HW8e3GWrCcERMFZ1boMAUxWCfe_eqqp</t>
  </si>
  <si>
    <t>To dive deep into AI field, and gain more knowledge.</t>
  </si>
  <si>
    <t>I am enthusiast about the field, also I am a hard worker</t>
  </si>
  <si>
    <t>LinkeIn</t>
  </si>
  <si>
    <t>Youssef Hosny Ismail Fahmy</t>
  </si>
  <si>
    <t>01011540114</t>
  </si>
  <si>
    <t>yousseffahmy375@gmail.com</t>
  </si>
  <si>
    <t>https://www.linkedin.com/in/yousseffahmy-data-analyst?utm_source=share&amp;utm_campaign=share_via&amp;utm_content=profile&amp;utm_medium=android_app</t>
  </si>
  <si>
    <t>https://drive.google.com/open?id=1G8K4BxI6gqkrsE1j6Rlt8mA1LoLM0enD</t>
  </si>
  <si>
    <t>I come from a data analysis background, built mainly through self-learning and I see AI as the next step to transform data insights into intelligent solutions.
As a person with a physical disability who uses a wheelchair, technology enables me to focus on skills, analysis, and impact rather than limitations. This scholarship would help me strengthen my  knowledge and apply it in real-world projects.</t>
  </si>
  <si>
    <t>You should accept me because I am a highly motivated self-learner with hands-on experience in data analysis. I consistently invest my own time in learning, practice and application. If selected, I will fully commit to the program and use the acquired AI skills to build meaningful data-driven solutions.</t>
  </si>
  <si>
    <t>Data Preprocessing, Data Analysis ( using python ), Machine Learning, Deep Learning, Agentic AI, AI Tools, All AI Topics</t>
  </si>
  <si>
    <t>None</t>
  </si>
  <si>
    <t xml:space="preserve"> Mohamed Alaa Mohamed Ahmed elboraay </t>
  </si>
  <si>
    <t>01558634885</t>
  </si>
  <si>
    <t>mohamedalaa1098237@gmail.com</t>
  </si>
  <si>
    <t>https://www.linkedin.com/in/mohamed-alaa-62206229b?utm_source=share&amp;utm_campaign=share_via&amp;utm_content=profile&amp;utm_medium=android_app</t>
  </si>
  <si>
    <t>https://drive.google.com/open?id=1K73PJSiFWFxzk87kUFfDoh0iAo7vfm1j</t>
  </si>
  <si>
    <t xml:space="preserve">To improve my self </t>
  </si>
  <si>
    <t xml:space="preserve">Because I don't waste this opportunity </t>
  </si>
  <si>
    <t xml:space="preserve">Linkedin </t>
  </si>
  <si>
    <t xml:space="preserve">محمد بدر الدين حسين </t>
  </si>
  <si>
    <t>01015895222</t>
  </si>
  <si>
    <t>badreldenhesen4400@gmail.com</t>
  </si>
  <si>
    <t>Badr</t>
  </si>
  <si>
    <t>https://drive.google.com/open?id=1v2Q_hozs2zFiaYCaCK5CWrIxWQmcDXHS</t>
  </si>
  <si>
    <t>N/a</t>
  </si>
  <si>
    <t xml:space="preserve">Ok
</t>
  </si>
  <si>
    <t>Good</t>
  </si>
  <si>
    <t>NLP &amp; LLMs, Agentic AI, AI Tools</t>
  </si>
  <si>
    <t>Ok</t>
  </si>
  <si>
    <t xml:space="preserve">Habiba Noshy Farhat Zayed </t>
  </si>
  <si>
    <t>01552319541</t>
  </si>
  <si>
    <t>habibazayed2919@gmail.com</t>
  </si>
  <si>
    <t>https://www.linkedin.com/in/habiba-zayed-65a6632b9?utm_source=share&amp;utm_campaign=share_via&amp;utm_content=profile&amp;utm_medium=android_app</t>
  </si>
  <si>
    <t>https://drive.google.com/open?id=1J1XcrnO-x9zZJ264c2PIThETORn15voa</t>
  </si>
  <si>
    <t>An opportunity to learn Ai</t>
  </si>
  <si>
    <t>am motivated, hardworking, and eager to grow. This scholarship will help me build essential skills, and I will fully commit to making the most of this opportunity.</t>
  </si>
  <si>
    <t xml:space="preserve">Youssef Haitham Mahmoud Ahmed Ali </t>
  </si>
  <si>
    <t>01060398857</t>
  </si>
  <si>
    <t>YusefHaisam57@gmail.com</t>
  </si>
  <si>
    <t>https://www.linkedin.com/in/youssef-haitham-mahmoud-9852b5395?utm_source=share_via&amp;utm_content=profile&amp;utm_medium=member_android</t>
  </si>
  <si>
    <t>https://drive.google.com/open?id=1ilcMYWTfC8kvuJ-lC1Z_aWi43DQkD4iy</t>
  </si>
  <si>
    <t>To study the full scholarship and I am a student I searched for a position and it is complete in one specialization and there are no scholarships in one and complete specialization and this makes me happy that you are for this scholarship and I have experience in AI</t>
  </si>
  <si>
    <t>I am happy that I joined this scholarship and I have experience in AI and I specialize in deep learning and computer vision and I took them separately with NTI and this does not suit me and I took machine learning with NTI separate from them and I needed a grant or a course to join and merge them all together in one project or one job</t>
  </si>
  <si>
    <t xml:space="preserve">LinkedIn and Whatsapp group </t>
  </si>
  <si>
    <t xml:space="preserve">انا اسف جدا انى معيش cv عشان مش بعرف اعمله ودى الحاجه الوحيده اللي مبعرفش اعملها ولا اخذت كورسات فيها قبل كده والله معانا ان شاء الله وسوف نتقبل ونكون عند حسن ظنكم والسلام عليكم ورحمه الله وبركاته </t>
  </si>
  <si>
    <t xml:space="preserve">آلاء مختار أمين </t>
  </si>
  <si>
    <t>01094823644</t>
  </si>
  <si>
    <t>alaaamokhtar98@gmail.com</t>
  </si>
  <si>
    <t>https://www.linkedin.com/in/alaa-mokhtar-09a043355?utm_source=share&amp;utm_campaign=share_via&amp;utm_content=profile&amp;utm_medium=android_app</t>
  </si>
  <si>
    <t>https://drive.google.com/open?id=1xJYrZZ_DIHrDCJNWQszq_YPVKWbDm9ay</t>
  </si>
  <si>
    <t xml:space="preserve">
I want this scholarship because it will help me strengthen my skills in Artificial Intelligence and apply what I learn to real-world problems. I am highly motivated to work hard, improve myself, and become highly skilled in my field. This opportunity will help me build a strong career and secure a good job as a successful AI professional who makes a positive impact.</t>
  </si>
  <si>
    <t xml:space="preserve">
 because I am motivated, hardworking, and committed to learning and self-improvement. I have a strong interest in Artificial Intelligence and I am eager to develop my skills through practice and real projects. I will make the most of this opportunity and use it to build a strong career and create positive impact.
</t>
  </si>
  <si>
    <t>Mathematics, Data Preprocessing, Data Analysis ( using python ), Machine Learning, Deep Learning, MLOps ( using AWS and/or Huwawie Cloud ), NLP &amp; LLMs, Agentic AI, AI Tools, All AI Topics</t>
  </si>
  <si>
    <t>Ayoub Azez Mekhael</t>
  </si>
  <si>
    <t>01206362409</t>
  </si>
  <si>
    <t>Ayoup2.gerges@gmail.com</t>
  </si>
  <si>
    <t>https://www.linkedin.com/in/ayoub-azez?utm_source=share&amp;utm_campaign=share_via&amp;utm_content=profile&amp;utm_medium=android_app</t>
  </si>
  <si>
    <t>https://drive.google.com/open?id=13prbJ-Z3q2jt7nQDmGpSagNUMJsQec1U</t>
  </si>
  <si>
    <t xml:space="preserve">Increasing  my knoweledge in The data science field including the machine and deep learning parts </t>
  </si>
  <si>
    <t>I think I am a suitable chise for this scholarship As I am  a Supply chain data analyst with one year of experiance also having the basic concepts in the machine learning and deep learning parts so I have both theoritical and technical background besides my eager to grow and learn would make me fit for this oppurtunity</t>
  </si>
  <si>
    <t>Mathematics, Machine Learning, Deep Learning, MLOps ( using AWS and/or Huwawie Cloud ), NLP &amp; LLMs, Computer Vision, Agentic AI, AI Tools, All AI Topics</t>
  </si>
  <si>
    <t>No thank you</t>
  </si>
  <si>
    <t>Youssef Fawzy Shaaban</t>
  </si>
  <si>
    <t>01556436636</t>
  </si>
  <si>
    <t>yousseffawzy168@gmail.com</t>
  </si>
  <si>
    <t>www.linkedin.com/in/youssef-fawzy-ai</t>
  </si>
  <si>
    <t>https://drive.google.com/open?id=12-L3zowdf8O5GdbCBBRx062vuMF7WYAK</t>
  </si>
  <si>
    <t xml:space="preserve">انا مهتم جدا بمجال aiجربت حجات تانيه بس لقيت نفسي شاطر في aiواتعلمت حجات كتير من اول  ML وDeep learning وعملت مشاريع كتير وعايز اتعلم اكتر عن المجال و اعمل حجات اكتر  </t>
  </si>
  <si>
    <t xml:space="preserve">عشان انا بستمر في اي حاجه بتعلمها وبلتزم فيها و بحب شعور الانجاز لما اخلص حاجه وعايز اطور مهاراتي في AI عشان سوق العمل </t>
  </si>
  <si>
    <t>جروب AitroniX Internship</t>
  </si>
  <si>
    <t xml:space="preserve">اختروني  </t>
  </si>
  <si>
    <t>Bahaa' Eldin Shabaan</t>
  </si>
  <si>
    <t>01152779714</t>
  </si>
  <si>
    <t>bahaaeldeenshaban@gmail.com</t>
  </si>
  <si>
    <t>https://www.linkedin.com/in/bahaa-eldin-shaaban-drwish-6823b2196</t>
  </si>
  <si>
    <t>https://drive.google.com/open?id=1ZKbjeD_L5IKKbPwuG36MEXPYNkaHdFG1</t>
  </si>
  <si>
    <t>I am applying for this scholarship to strengthen my practical skills in artificial intelligence and apply them to real-world engineering and utility challenges. With a background in electrical engineering and hands-on experience in power systems and utilities, I have seen how data-driven and predictive approaches can significantly improve planning and decision-making.
I have already built a solid foundation through a Business-Oriented Data Analysis Learning Program (BODALP) at ZAnalytics, as well as the DEPI scholarship in Data Science. These experiences helped me understand how data is used in real business and engineering contexts. However, I am now looking to deepen my AI knowledge through structured and advanced training, allowing me to move beyond analysis into intelligent, scalable solutions—particularly in areas such as energy demand forecasting, system optimization, and performance analysis.</t>
  </si>
  <si>
    <t>I bring a strong combination of engineering experience, data science background, and real-world application. Coming from the utilities and power systems sector, I understand real operational problems—not just theoretical ones—and I am highly motivated to solve them using AI.
I have already invested in building my skills through programs like BODALP at ZAnalytics and the DEPI Data Science scholarship, and I consistently apply what I learn in practical projects. I am committed, disciplined, and focused on turning learning into impact, whether through improving systems in my field or sharing knowledge with others. Accepting me means investing in someone who will actively apply, grow, and multiply the value of this opportunity.</t>
  </si>
  <si>
    <t>In LINKEDIN.</t>
  </si>
  <si>
    <t>Python Basics, Mathematics, Data Preprocessing, Data Analysis ( using python ), Introduction to Data Engineering ( Theoratical ), Machine Learning, AI Tools, All AI Topics</t>
  </si>
  <si>
    <t>Thanks for providing this awesome opportunity for the young.</t>
  </si>
  <si>
    <t xml:space="preserve"> Abdelrhman Mohamed Abdelazeem Moawad</t>
  </si>
  <si>
    <t>01141416055</t>
  </si>
  <si>
    <t>abdelrhmnmohamed18@gmail.com</t>
  </si>
  <si>
    <t>https://www.linkedin.com/in/abdelrhman-mohamed-ds</t>
  </si>
  <si>
    <t>https://drive.google.com/open?id=15Ldp4CvbpdQZHHe1eMa_tvBwo-wXpYdM</t>
  </si>
  <si>
    <t>to improve my skills to get a anew job offer</t>
  </si>
  <si>
    <t>I always try to improve my skills and I am committed and hard in my studies and also I have the patience to learn</t>
  </si>
  <si>
    <t>From LinkedIn</t>
  </si>
  <si>
    <t>No thanks</t>
  </si>
  <si>
    <t xml:space="preserve">Hussian Ahmed Hussain </t>
  </si>
  <si>
    <t>01011164977</t>
  </si>
  <si>
    <t>hrfy330@gmail.com</t>
  </si>
  <si>
    <t>https://www.linkedin.com/in/hussian-ahmed?utm_source=share&amp;utm_campaign=share_via&amp;utm_content=profile&amp;utm_medium=android_app</t>
  </si>
  <si>
    <t>https://drive.google.com/open?id=1_3mICfgk7kSRgja7xW8RiuCZ6SzRv3oy</t>
  </si>
  <si>
    <t xml:space="preserve">To help me to improve my skills in real life with real life projects </t>
  </si>
  <si>
    <t xml:space="preserve">I'm motivated person and i can work in teammates </t>
  </si>
  <si>
    <t>Tnx</t>
  </si>
  <si>
    <t xml:space="preserve">Mustafa Nasser </t>
  </si>
  <si>
    <t>01011591350</t>
  </si>
  <si>
    <t>mustafa.nasser.002@gmail.com</t>
  </si>
  <si>
    <t>https://www.linkedin.com/in/mustafa-nasser-b22598321/?utm_source=share&amp;utm_campaign=share_via&amp;utm_content=profile&amp;utm_medium=android_app</t>
  </si>
  <si>
    <t>https://drive.google.com/open?id=18uqO52AWfVeD413B8nurzYHqpSaod4Lb</t>
  </si>
  <si>
    <t>To gain experience in learning</t>
  </si>
  <si>
    <t>Because I have good experience in my field, which will help me contribute positively to the scholarship. I also have strong skills and a strong desire to gain even more experience and develop myself further</t>
  </si>
  <si>
    <t xml:space="preserve">Walid Ali Mahmoud Ali </t>
  </si>
  <si>
    <t>01022037347</t>
  </si>
  <si>
    <t>waleedalizaharn@gmail.com</t>
  </si>
  <si>
    <t>https://www.linkedin.com/in/waleed-ali-zaharn-a2176529b?utm_source=share&amp;utm_campaign=share_via&amp;utm_content=profile&amp;utm_medium=android_app</t>
  </si>
  <si>
    <t>https://drive.google.com/open?id=1iNIJTYcRNVZf-eVED8emfGydhfacaNzO</t>
  </si>
  <si>
    <t>الطور من نفسي</t>
  </si>
  <si>
    <t>من اجل التعلم</t>
  </si>
  <si>
    <t>Ahamd Hafez</t>
  </si>
  <si>
    <t>كسب الخبره</t>
  </si>
  <si>
    <t>Reham Mahmoud Rushdi Abdellah</t>
  </si>
  <si>
    <t>01099560326</t>
  </si>
  <si>
    <t>rehamrushdi99@gmail.com</t>
  </si>
  <si>
    <t>https://www.linkedin.com/in/reham-mahmoud-rushdi?utm_source=share&amp;utm_campaign=share_via&amp;utm_content=profile&amp;utm_medium=android_app</t>
  </si>
  <si>
    <t>https://drive.google.com/open?id=1OsIvTuH4cydNnkSYAqM9-Hmm2BmkTJsv</t>
  </si>
  <si>
    <t>I want to join this AI scholarship because AI is closely connected to the work I already do in data science and real projects. I enjoy building practical solutions from data, and learning AI more deeply will help me do that better. With upcoming research work during my master’s, this scholarship would strongly support my growth and help me apply AI in a more meaningful and structured way.</t>
  </si>
  <si>
    <t>I believe I would be a good fit for this scholarship because I already have a solid background in data science and experience working on real projects, and I’m genuinely motivated to learn more. I take learning seriously, apply what I learn in practice, and I’m committed to growing and improving. I would value this opportunity and make the most of it.</t>
  </si>
  <si>
    <t>Data Preprocessing, Data Analysis ( using python ), Deep Learning, NLP &amp; LLMs, Computer Vision, Agentic AI, All AI Topics</t>
  </si>
  <si>
    <t>https://drive.google.com/open?id=1kCORnucoYheMTKxE2ggt2KpKkL-sYBv-</t>
  </si>
  <si>
    <t xml:space="preserve">التعلم </t>
  </si>
  <si>
    <t>كسب خبره</t>
  </si>
  <si>
    <t>M/Ahamd Hafez</t>
  </si>
  <si>
    <t>كسب خيره</t>
  </si>
  <si>
    <t>Abdalla Mohamed Zayed</t>
  </si>
  <si>
    <t>01208123241</t>
  </si>
  <si>
    <t>abdallazayed2004@gmail.com</t>
  </si>
  <si>
    <t>https://www.linkedin.com/in/abdalla-zayed-175aab268?utm_source=share&amp;utm_campaign=share_via&amp;utm_content=profile&amp;utm_medium=android_app</t>
  </si>
  <si>
    <t>https://drive.google.com/open?id=1hWTRBkcRb2VftultFdv8ZSSNDumPIgR2</t>
  </si>
  <si>
    <t>to gain hands on real and end to end projects and be ready for work</t>
  </si>
  <si>
    <t>i have consistencey and i am eager to lesrn</t>
  </si>
  <si>
    <t>linked In</t>
  </si>
  <si>
    <t>Deep Learning, NLP &amp; LLMs, Computer Vision, Agentic AI</t>
  </si>
  <si>
    <t>Mohamed Ahmed Hamed</t>
  </si>
  <si>
    <t>01022353053</t>
  </si>
  <si>
    <t>mah.selim06@gmail.com</t>
  </si>
  <si>
    <t>https://www.linkedin.com/in/mohamed-ahmed-hamed-899556355?utm_source=share&amp;utm_campaign=share_via&amp;utm_content=profile&amp;utm_medium=ios_app</t>
  </si>
  <si>
    <t>https://drive.google.com/open?id=1qzduABmDahDxm6koDfdzjrVbLlU31fAc</t>
  </si>
  <si>
    <t>I am interested in this field and eager to learn more about it!</t>
  </si>
  <si>
    <t xml:space="preserve">I am a hard worker as I do all my tasks and aim to be the best in any place I go.
I love learning in general and specifically AI related knowledge </t>
  </si>
  <si>
    <t>An instructor of a ML/DL summer workshop I was enrolled in it reposted your post on linkedIn</t>
  </si>
  <si>
    <t>I am eager to be part of this scholarship 🙏🏼</t>
  </si>
  <si>
    <t xml:space="preserve">محمد طارق توفيق </t>
  </si>
  <si>
    <t>01278418942</t>
  </si>
  <si>
    <t xml:space="preserve">mozatarek200@gmail.com </t>
  </si>
  <si>
    <t>https://www.linkedin.com/in/mohamed-tarek-997abb283?utm_source=share&amp;utm_campaign=share_via&amp;utm_content=profile&amp;utm_medium=ios_app</t>
  </si>
  <si>
    <t>https://drive.google.com/open?id=1GnTTBTvp1CxRKrr9xMLaEOtPVnpo1J_Q</t>
  </si>
  <si>
    <t xml:space="preserve">انا داتا انالسيز وعايز اطور من نفسى اكتر واتعلم Ml و AI </t>
  </si>
  <si>
    <t xml:space="preserve">عندي معرفه ودرايه بالمجال متعلم الاساسيات واشتغلت فى سوق العمل </t>
  </si>
  <si>
    <t xml:space="preserve">فيسبوك </t>
  </si>
  <si>
    <t>Mathematics, Introduction to Data Engineering ( Theoratical ), Machine Learning, Deep Learning, MLOps ( using AWS and/or Huwawie Cloud ), NLP &amp; LLMs, Computer Vision, Agentic AI, AI Tools, All AI Topics</t>
  </si>
  <si>
    <t xml:space="preserve">شكرا جدا على المنحة </t>
  </si>
  <si>
    <t xml:space="preserve">Yosef Mohammed Ahmed </t>
  </si>
  <si>
    <t>01126078938</t>
  </si>
  <si>
    <t>ypssefmohammedahmed@gmail.com</t>
  </si>
  <si>
    <t>https://www.linkedin.com/in/yossef-mohammed-358802275?utm_source=share&amp;utm_campaign=share_via&amp;utm_content=profile&amp;utm_medium=android_app</t>
  </si>
  <si>
    <t>https://drive.google.com/open?id=1pLs7APkfGKLnglfrl5W8l3JzoiUaVpac</t>
  </si>
  <si>
    <t>To improve my self and get more experiences</t>
  </si>
  <si>
    <t>I am good in Ai computer vision and nlp . I did many projects and i love Ai and need to be better in it .and I worked a lot on my LinkedIn to be better and better in this field. This is very important to me to join this scholarship to can be improved.</t>
  </si>
  <si>
    <t>I know Ahmed Hafez i took with him ai diploma in instant at 2023 and he is very kind and we are friends.</t>
  </si>
  <si>
    <t>Data Preprocessing, Introduction to Data Engineering ( Theoratical ), MLOps ( using AWS and/or Huwawie Cloud ), NLP &amp; LLMs, Computer Vision, Agentic AI, AI Tools</t>
  </si>
  <si>
    <t>I hope to join this scholarship and get more experiences with you and if you need any help ,I am here</t>
  </si>
  <si>
    <t>Hayam Mostafa Abdelhamid</t>
  </si>
  <si>
    <t>01147085727</t>
  </si>
  <si>
    <t>hayammostafa2877@gmail.com</t>
  </si>
  <si>
    <t>https://www.linkedin.com/in/hayam-mostafaa/</t>
  </si>
  <si>
    <t>https://drive.google.com/open?id=1FcEfVooUnoTDoqWmOFeU7Sz2-tuE8lha</t>
  </si>
  <si>
    <t>I want this scholarship because I am eager to learn, grow, and develop myself. I believe this opportunity will help me build new skills and gain valuable knowledge that will support my personal and academic growth</t>
  </si>
  <si>
    <t>You should accept me because I enjoy learning new things and challenging myself. This track is very important to me, and I am highly motivated, curious, and ready to put in the effort to make the most of this opportunity.</t>
  </si>
  <si>
    <t>I heard about this scholarship from a friend</t>
  </si>
  <si>
    <t>Mathematics, Data Preprocessing, Machine Learning, Deep Learning, MLOps ( using AWS and/or Huwawie Cloud ), NLP &amp; LLMs, Computer Vision, Agentic AI</t>
  </si>
  <si>
    <t>Thank you for this opportunity - I am excited to learn and grow through this program</t>
  </si>
  <si>
    <t xml:space="preserve">Hebatuallah Abdelhamed </t>
  </si>
  <si>
    <t>01022317368</t>
  </si>
  <si>
    <t>hebaaboesmail10@gmail.com</t>
  </si>
  <si>
    <t>https://www.linkedin.com/in/hebatuallah-abdelhamed-2860b625a/</t>
  </si>
  <si>
    <t>https://drive.google.com/open?id=1sgiMnsdrAP0MvXmhkZoBiIwJ04WgzAtf</t>
  </si>
  <si>
    <t>I want this scholarship to strengthen my AI skills through hands-on learning and expert guidance. It would help me grow faster and turn my passion for AI into real, impactful work.</t>
  </si>
  <si>
    <t xml:space="preserve">I am highly motivated, committed, and always willing to learn and improve. I will take this opportunity seriously and give my full effort to make the most of it. </t>
  </si>
  <si>
    <t>from Eng. Ahmed Hafez’s Facebook account.</t>
  </si>
  <si>
    <t>Data Preprocessing, Machine Learning, Deep Learning, MLOps ( using AWS and/or Huwawie Cloud ), NLP &amp; LLMs, Computer Vision, Agentic AI</t>
  </si>
  <si>
    <t>Thank you for the opportunity.</t>
  </si>
  <si>
    <t xml:space="preserve">Mustafa Ahmed Abbas </t>
  </si>
  <si>
    <t xml:space="preserve">eng.mustafaahmed10@gmail.com </t>
  </si>
  <si>
    <t>https://www.linkedin.com/in/mustafa-ahmed-9935b1295/</t>
  </si>
  <si>
    <t>https://drive.google.com/open?id=1yktgTSvuMjJ0Mb1UluZxZpvE4wghLJZR</t>
  </si>
  <si>
    <t>I am seeking this scholarship because it will enable me to accelerate my growth in Artificial Intelligence and move from traditional data analysis to advanced AI-driven solutions. It provides the structured training, mentorship, and practical experience needed to build real-world AI projects. This opportunity will help me maximize my potential, overcome financial limitations, and contribute meaningfully to the program</t>
  </si>
  <si>
    <t>You should accept me because I combine strong analytical thinking with high discipline and commitment to learning. I have a solid background in data analysis and problem-solving, and I consistently translate theory into practical projects. I am highly motivated, adaptable, and ready to contribute actively to the program while continuously pushing myself to achieve excellence in AI</t>
  </si>
  <si>
    <t>Python Basics, Mathematics, Data Preprocessing, Data Analysis ( using python ), Introduction to Data Engineering ( Theoratical ), Machine Learning, NLP &amp; LLMs, All AI Topics</t>
  </si>
  <si>
    <t xml:space="preserve">Mohammed Salah Mohammed Ahmed </t>
  </si>
  <si>
    <t>01154274602</t>
  </si>
  <si>
    <t>mohammedsalahemam01@gmail.com</t>
  </si>
  <si>
    <t>https://www.linkedin.com/in/mohammed-01-salah?utm_source=share&amp;utm_campaign=share_via&amp;utm_content=profile&amp;utm_medium=android_app</t>
  </si>
  <si>
    <t>https://drive.google.com/open?id=1mhur57yK5ZFpp_woTsAUr32JH53Txc_t</t>
  </si>
  <si>
    <t xml:space="preserve">I study Data Science and Ai 
And I need to improve my level to help me get more experience and get job offer and will take this scholarship to guide me with right road without any noise of resources </t>
  </si>
  <si>
    <t xml:space="preserve">I think my major related to Ai and  I not beginner but I need to qualify to get job and I now in level 3 in faculty so this chance will help me and finally I take Data as My track and now ai are mostly related to Data fields and I will spend all my efforts to gain the best benefits from this scholarship </t>
  </si>
  <si>
    <t>Python Basics, Mathematics, Data Preprocessing, Data Analysis ( using python ), Introduction to Data Engineering ( Theoratical ), Machine Learning, MLOps ( using AWS and/or Huwawie Cloud ), Agentic AI, AI Tools</t>
  </si>
  <si>
    <t xml:space="preserve">Thanks for this scholarship and I really appreciate that Chance </t>
  </si>
  <si>
    <t xml:space="preserve">Sleem Hashem </t>
  </si>
  <si>
    <t>01154825799</t>
  </si>
  <si>
    <t>Sleemhashem620@gmail.com</t>
  </si>
  <si>
    <t>https://www.linkedin.com/in/sleem-hashem</t>
  </si>
  <si>
    <t>https://drive.google.com/open?id=1tGjc5Xcoiw_aodxgSasTDxR7DlqrnVQB</t>
  </si>
  <si>
    <t xml:space="preserve">Give me more experience </t>
  </si>
  <si>
    <t xml:space="preserve">I want to learn more about ai because this is my focus now </t>
  </si>
  <si>
    <t>Machine Learning, Deep Learning, MLOps ( using AWS and/or Huwawie Cloud ), NLP &amp; LLMs, Computer Vision, Agentic AI, AI Tools</t>
  </si>
  <si>
    <t xml:space="preserve">Khaled omar Ibrahim ahmed </t>
  </si>
  <si>
    <t>01152257258</t>
  </si>
  <si>
    <t>ironomar0101@gmail.com</t>
  </si>
  <si>
    <t>https://www.linkedin.com/in/khaled-omar196?utm_source=share&amp;utm_campaign=share_via&amp;utm_content=profile&amp;utm_medium=android_app</t>
  </si>
  <si>
    <t>https://drive.google.com/open?id=1_d8LkPZ5WVCsSirLzRL8_dVRzLDdfJyH</t>
  </si>
  <si>
    <t>To enhance my AI skills by gaining practical experience with guidance and continuous mentorship</t>
  </si>
  <si>
    <t xml:space="preserve"> You should accept me because I have strong basics, hands-on project experience, and a strong desire to learn and grow</t>
  </si>
  <si>
    <t>Python Basics, Mathematics, Data Preprocessing, Introduction to Data Engineering ( Theoratical ), Machine Learning, Deep Learning, MLOps ( using AWS and/or Huwawie Cloud ), NLP &amp; LLMs, Computer Vision, Agentic AI, AI Tools, All AI Topics</t>
  </si>
  <si>
    <t>I am currently an intern at DEPI and actively studying Coursera courses by Andrew Ng. I am highly motivated to improve my technical skills and advance my career, and I would greatly appreciate the opportunity to join your internship program</t>
  </si>
  <si>
    <t xml:space="preserve">Manal Eldesouki </t>
  </si>
  <si>
    <t>01117491491</t>
  </si>
  <si>
    <t>manal.ibrahimeld@gmail.com</t>
  </si>
  <si>
    <t>http://linkedin.com/in/manalibrahimme</t>
  </si>
  <si>
    <t>https://drive.google.com/open?id=1U2evcvytpyAVizdC-NWKjnqSJCICr9EO</t>
  </si>
  <si>
    <t>because I am very interested in learning more about artificial intelligence and how it can be used to make a positive difference in people’s lives. This scholarship would help me focus on my studies and develop practical skills without being limited by any challenges</t>
  </si>
  <si>
    <t>receiving this scholarship would motivate me to work harder, use the opportunity wisely, and apply what I learn to contribute to my community and future career. And for me specifically. I don’t know to be honest but I can assure you that any higher expectations from candidates will do my best to meet them Onshaa’Allah. I am a hardworking person with an open mindset to learn and grow and most importantly, I appreciate opportunities to learn and develop.</t>
  </si>
  <si>
    <t>Social media</t>
  </si>
  <si>
    <t>Python Basics, Machine Learning, Deep Learning, MLOps ( using AWS and/or Huwawie Cloud ), NLP &amp; LLMs, Agentic AI, AI Tools, All AI Topics</t>
  </si>
  <si>
    <t xml:space="preserve">Thank you for type online, offline, hybrid all are ok for me </t>
  </si>
  <si>
    <t>Youssef Khaled</t>
  </si>
  <si>
    <t>01557605399</t>
  </si>
  <si>
    <t>youssef.khaled12382@gmail.com</t>
  </si>
  <si>
    <t>https://www.linkedin.com/in/youssef-khaled-a36174286/</t>
  </si>
  <si>
    <t>https://drive.google.com/open?id=11aLSioZSanY_YSfX5PqDxTOMiZcYoYl6</t>
  </si>
  <si>
    <t xml:space="preserve">I want to gain more and more knowledge in Ai </t>
  </si>
  <si>
    <t>I am a committed and hardworking person, and I want to learn and know everything new</t>
  </si>
  <si>
    <t xml:space="preserve">Abdelrahman Mohamed Mahmoud Elsaid </t>
  </si>
  <si>
    <t>01554386771</t>
  </si>
  <si>
    <t>abdelrahmanmohamedqabil@gmail.com</t>
  </si>
  <si>
    <t>https://www.linkedin.com/in/abdelrahman-kabil-511732246/</t>
  </si>
  <si>
    <t>https://drive.google.com/open?id=1jeV1HthfcxYAs-hdCubKkBFjN66rEdfH</t>
  </si>
  <si>
    <t>I want this scholarship because it would remove a major financial barrier and allow me to focus fully on building in-demand, practical skills that directly impact my career.
I’m a Computer Science graduate who is actively transitioning into data-driven and digital fields, and structured learning is essential for me right now. This scholarship would give me access to high-quality, hands-on courses that help me strengthen my technical foundation, work on real projects, and stay consistent in my learning journey.
On a personal level, it represents an opportunity to invest in myself at a critical stage of my career. On a professional level, it will help me become more competitive in the job market, deliver better results in real work environments, and move faster toward stable income and long-term growth.
I’m highly motivated to make the most of this opportunity, and I see this scholarship as a turning point that enables learning, application, and measurable progress.</t>
  </si>
  <si>
    <t>You should accept me because I don’t just want to learn — I’m committed to applying what I learn and turning it into real results.
I have a solid foundation as a Computer Science graduate, and I’ve already taken concrete steps to upskill by learning practical, in-demand skills and actively seeking hands-on experience. I’m disciplined, self-motivated, and clear about my goals: to build strong technical expertise and use it to create value in real projects and work environments.
What sets me apart is consistency and intent. I don’t collect courses; I complete them, practice what I learn, and look for ways to apply the knowledge immediately. With this opportunity, I will fully engage with the program, make the most of the resources provided, and represent the scholarship through meaningful progress and measurable outcomes.
Accepting me means investing in someone who will respect the opportunity, use it seriously, and translate learning into real impact.</t>
  </si>
  <si>
    <t>Python Basics, Mathematics, Data Preprocessing, Data Analysis ( using python ), Introduction to Data Engineering ( Theoratical ), Machine Learning, Deep Learning, NLP &amp; LLMs, Computer Vision, Agentic AI</t>
  </si>
  <si>
    <t xml:space="preserve">Alaa Mahmoud Elkewisny </t>
  </si>
  <si>
    <t>+971 502530068</t>
  </si>
  <si>
    <t xml:space="preserve">alaaelkewisny@gmail.com </t>
  </si>
  <si>
    <t>www.linkedin.com/in/alaa-elkewisny-1542a933b</t>
  </si>
  <si>
    <t>https://drive.google.com/open?id=1s42QiePw7WK2tJEm5ZjHsVSKpkvAXy3Y</t>
  </si>
  <si>
    <t>This scholarship provides me the opportunity to learn from experts in the field, access advanced educational resources, and participate in a practical program that supports my goals and makes it easier for me to secure job opportunities.</t>
  </si>
  <si>
    <t>You should accept me because I already have a strong background in AI, so I can quickly contribute and make the most of this scholarship without starting from scratch. I am motivated, eager to learn more, and ready to apply my knowledge to real-world projects.</t>
  </si>
  <si>
    <t>Nothing</t>
  </si>
  <si>
    <t>Mohamed Ali Hassan Abdelazim</t>
  </si>
  <si>
    <t>01016928608</t>
  </si>
  <si>
    <t>mohamedalihassan26@outlook.com</t>
  </si>
  <si>
    <t>https://www.linkedin.com/in/mohamed-ali-hassan-a33b40320?utm_source=share&amp;utm_campaign=share_via&amp;utm_content=profile&amp;utm_medium=ios_app</t>
  </si>
  <si>
    <t>https://drive.google.com/open?id=1cudu4IgjtXp0owNubTQCnywu2RWTYaaw</t>
  </si>
  <si>
    <t>I want this scholarship because I am a data analyst who is eager to improve my skills and grow professionally. I already have a strong background in data analysis, but I want to move to the next level by learning Artificial Intelligence and Machine Learning. These skills will help me analyze data more effectively, build predictive models, and solve real-world problems. This scholarship will give me the opportunity to gain structured knowledge and practical experience that I need to advance my career and become a more competitive data analyst.</t>
  </si>
  <si>
    <t>You should accept me because I am a motivated and disciplined data analyst who is serious about learning and applying new skills. I already have a strong foundation in data analysis and continuously work on improving myself through courses and practical projects. I am committed to making the most of this opportunity by actively learning, practicing, and applying what I gain from the scholarship to real-world problems. I believe my dedication, consistency, and clear career goals make me a strong candidate for this program.</t>
  </si>
  <si>
    <t xml:space="preserve">From Linkedin </t>
  </si>
  <si>
    <t>Python Basics, Mathematics, Introduction to Data Engineering ( Theoratical ), Machine Learning, Deep Learning, MLOps ( using AWS and/or Huwawie Cloud ), NLP &amp; LLMs, Computer Vision, Agentic AI, AI Tools, All AI Topics</t>
  </si>
  <si>
    <t xml:space="preserve">Mahmoud Ramadan Jouda </t>
  </si>
  <si>
    <t>01277051609</t>
  </si>
  <si>
    <t>m18r0220@gmail.com</t>
  </si>
  <si>
    <t>https://www.linkedin.com/in/mramadan0220</t>
  </si>
  <si>
    <t>https://drive.google.com/open?id=1akCp3k53W4KPoz1BTRDj-yS04hhFgE6v</t>
  </si>
  <si>
    <t xml:space="preserve">To improve my knowledge and skills and make a connection </t>
  </si>
  <si>
    <t>I am studying Statistics and Computer Science. I have a basic understanding of both fields, I am certified by NTI, have completed several projects, and I can code in Python very well</t>
  </si>
  <si>
    <t xml:space="preserve">Thank you </t>
  </si>
  <si>
    <t>Omar Fesal Abdelaziz</t>
  </si>
  <si>
    <t>01145624969</t>
  </si>
  <si>
    <t>omarfesal4789@gmail.com</t>
  </si>
  <si>
    <t>https://www.linkedin.com/in/omarfesal1</t>
  </si>
  <si>
    <t>https://drive.google.com/open?id=1XYjiUoENhPjZdm9S20EAwqcn_UZW0Hn1</t>
  </si>
  <si>
    <t>Iam interested with it and i want to learn more about this</t>
  </si>
  <si>
    <t>I bring a solid foundation in System Administration and a future-focused mindset in AI and Data Science. My goal is to leverage my technical skills to ensure your infrastructure is not only stable and secure but also optimized through data-driven decisions and intelligent automation.</t>
  </si>
  <si>
    <t>AitroniX</t>
  </si>
  <si>
    <t>Thank you</t>
  </si>
  <si>
    <t xml:space="preserve">Amira emad mohammed araby </t>
  </si>
  <si>
    <t>01208271556</t>
  </si>
  <si>
    <t>amiraemadariby@gmail.com</t>
  </si>
  <si>
    <t>https://www.linkedin.com/in/amira-emad-araby-7bb38b355</t>
  </si>
  <si>
    <t>https://drive.google.com/open?id=1zUo2QHEmuSvKS76984RheHRxNES2fds2</t>
  </si>
  <si>
    <t>بكل بساطه اخيرا استقريت ع تراك معين بعد فتره توهان ف اولى جامعه و حابه اعرف كل حاجه عن data analysis و ادرس كل حاجه فيها و بسعي ف كل اتجاه و المنحه دي فرصه كويسه ليا + هلاقي ناس شبهي معاكم و هنفيد بعض</t>
  </si>
  <si>
    <t xml:space="preserve">لاني ملتزمه طول فتره التدريب و عندي ذكاء عاطفي و بقدر اشرح كويس اى حاجه هتعلمها ل باقي زملائي </t>
  </si>
  <si>
    <t>Data Analysis ( using python )</t>
  </si>
  <si>
    <t>شكرا ل مجهودكم و نكون دفعه كويسه و تعيدوا المنحه ل باقي زملائنا</t>
  </si>
  <si>
    <t>Hanya wael fawzy hussein</t>
  </si>
  <si>
    <t>01027375260</t>
  </si>
  <si>
    <t>hanyawael2410@gmail.com</t>
  </si>
  <si>
    <t>https://www.linkedin.com/in/hanya-wael-b21b89347?utm_source=share&amp;utm_campaign=share_via&amp;utm_content=profile&amp;utm_medium=ios_app</t>
  </si>
  <si>
    <t>https://drive.google.com/open?id=12k0g2VOmYF5i4w3yc7E2oEMa3yo5UvSk</t>
  </si>
  <si>
    <t xml:space="preserve">i want to gain a real experience from someone who really is good at this field,i’m so passionate about ai and i want to continue learning and discovering the hidden depths of this field i see it like an opportunity to not just gain experience but also to know other people and learn from their knowledge </t>
  </si>
  <si>
    <t xml:space="preserve">I’m very passionate about what i do,i actually see myself a stubborn girl for always wanting to be better in this and i know i have the consistency in me and I am deeply committed to my field of study and have a clear, long-term vision for how I will use this education to make a positive impact </t>
  </si>
  <si>
    <t>Ahmed Ebrahim Sobhy Ebrahim</t>
  </si>
  <si>
    <t>01027053876</t>
  </si>
  <si>
    <t>ahmedghnnam801@gmail.com</t>
  </si>
  <si>
    <t>https://www.linkedin.com/in/ahmed-ebrahim2?utm_source=share&amp;utm_campaign=share_via&amp;utm_content=profile&amp;utm_medium=ios_app</t>
  </si>
  <si>
    <t>https://drive.google.com/open?id=1vSSoZUtHBEe_fIsqpuJB0Q_TWN-Z_j14</t>
  </si>
  <si>
    <t xml:space="preserve">Gaining experience and developing my skills </t>
  </si>
  <si>
    <t>Yes</t>
  </si>
  <si>
    <t>Friend</t>
  </si>
  <si>
    <t>Python Basics, Data Preprocessing, Data Analysis ( using python ), Machine Learning, Deep Learning, Agentic AI, AI Tools, All AI Topics</t>
  </si>
  <si>
    <t>Kerolos yosry fared</t>
  </si>
  <si>
    <t>01210084032</t>
  </si>
  <si>
    <t>kerolosyosry0@gmail.com</t>
  </si>
  <si>
    <t>https://www.linkedin.com/in/kerolos-yosry-41998a283?utm_source=share_via&amp;utm_content=profile&amp;utm_medium=member_android</t>
  </si>
  <si>
    <t>https://drive.google.com/open?id=1JZNGyeD0G1iRPsrZS_H-KEnzcu9PxM5n</t>
  </si>
  <si>
    <t>I want this scholarship because I’m genuinely interested in AI and I want to build a strong foundation in it. As a Computer and Information student, I see AI as a practical skill that can be used to solve real problems, not just a theoretical topic. This opportunity will help me gain hands-on experience and learn from a structured program instead of relying only on self-study.</t>
  </si>
  <si>
    <t>You should accept me because I’m motivated and serious about learning. I don’t limit myself to university courses only, and I always try to improve my skills through practice and projects. I’m committed to making the most out of this opportunity and applying what I learn in real and useful ways.</t>
  </si>
  <si>
    <t>From Facebook</t>
  </si>
  <si>
    <t>I’m really looking forward to this opportunity and excited to learn more through the program.</t>
  </si>
  <si>
    <t>Mohammed Wael Nabil</t>
  </si>
  <si>
    <t>01120742351</t>
  </si>
  <si>
    <t>mw252868@gmail.com</t>
  </si>
  <si>
    <t>www.linkedin.com/in/mohammed-wael-b47182337</t>
  </si>
  <si>
    <t>https://drive.google.com/open?id=1zDeVPTN836gV_8itPM-nz9T2VPfcRQW1</t>
  </si>
  <si>
    <t>Because it will give me access to structured, high-quality AI education that I may not otherwise afford. It will help me build strong foundations in artificial intelligence and apply these skills to real-world engineering and automation problems, aligning with my career goals in intelligent systems.</t>
  </si>
  <si>
    <t>I am highly motivated, committed to learning AI, and focused on applying it effectively through hands-on projects and continuous improvement.</t>
  </si>
  <si>
    <t>Thanks so much</t>
  </si>
  <si>
    <t xml:space="preserve">Mikhail Samuel </t>
  </si>
  <si>
    <t>01220165452</t>
  </si>
  <si>
    <t>it.ai.mikhail@gmail.com</t>
  </si>
  <si>
    <t>https://www.linkedin.com/in/mikhail-samuel/en</t>
  </si>
  <si>
    <t>https://drive.google.com/open?id=1xwzzJbNIOJnhWX2ilkegMgAhy75AgIog</t>
  </si>
  <si>
    <t xml:space="preserve">I don't get a job in ai field </t>
  </si>
  <si>
    <t xml:space="preserve">Read my resume and you will understand </t>
  </si>
  <si>
    <t>Introduction to Data Engineering ( Theoratical ), NLP &amp; LLMs, Agentic AI</t>
  </si>
  <si>
    <t>Yahya Osama Mohamed</t>
  </si>
  <si>
    <t>01091188534</t>
  </si>
  <si>
    <t>yahyaosamamohamedlotfy@gmail.com</t>
  </si>
  <si>
    <t>https://www.linkedin.com/in/yahya-osama-1bb7bb355?utm_source=share&amp;utm_campaign=share_via&amp;utm_content=profile&amp;utm_medium=ios_app</t>
  </si>
  <si>
    <t>https://drive.google.com/open?id=1eegRjZHeqOeIALffCtDhewibrJvTGDC5</t>
  </si>
  <si>
    <t>Because I want to use AI to solve real-world engineering problems, keep learning at a high level, and make a meaningful impact. I am sure this scholarship would give me the support to do that.</t>
  </si>
  <si>
    <t>Because I’m highly motivated and committed to using what I learn in AI to create practical, real-world impact, not just academically, but beyond the program as well.</t>
  </si>
  <si>
    <t>A friend sent me the link and highly suggested that I should apply.</t>
  </si>
  <si>
    <t>Python Basics, Data Analysis ( using python ), Machine Learning</t>
  </si>
  <si>
    <t>No, thank you for your time</t>
  </si>
  <si>
    <t xml:space="preserve">Abdulrahman Mohamed Abdleftah hegazy </t>
  </si>
  <si>
    <t>01095482902</t>
  </si>
  <si>
    <t>abdulrahman4hegazy@gmail.com</t>
  </si>
  <si>
    <t>https://www.linkedin.com/in/abdulrahman-hegazy-802395356?utm_source=share_via&amp;utm_content=profile&amp;utm_medium=member_android</t>
  </si>
  <si>
    <t>https://drive.google.com/open?id=1rVWmIK3tXu9OR06eBttEIPfNSR6QTBIS</t>
  </si>
  <si>
    <t xml:space="preserve">I have knowledge and some experience but I Wana learn Ai agent to make ai solution </t>
  </si>
  <si>
    <t>cause i need this opportunity to learn and grow up my career</t>
  </si>
  <si>
    <t>Agentic AI</t>
  </si>
  <si>
    <t>Amatalrahman Sayed</t>
  </si>
  <si>
    <t>01067643500</t>
  </si>
  <si>
    <t>amatalrahmansayed@gmail.com</t>
  </si>
  <si>
    <t>www.linkedin.com/in/amatalrahman-sayed</t>
  </si>
  <si>
    <t>https://drive.google.com/open?id=1ZZAVgnjKx_ggi78wdaFcdLXnNxDBfxth</t>
  </si>
  <si>
    <t xml:space="preserve">I'm really excited to join this internship because I want to take my AI skills to the next level.
I've done a lot of projects and courses, but each one has a something missing I'm eager to learn advanced topics, and get hands-on experience with cloud tools   </t>
  </si>
  <si>
    <t>You should accept me because I don’t just want to learn AI I want to apply it. I’ve already completed projects and internships that gave me hands-on experience, and I’m ready to tackle advanced challenges, experiment with cloud tools, and contribute actively. I’m motivated to make a real impact, not just follow instructions, and I see this internship as the perfect place to do that.</t>
  </si>
  <si>
    <t>I’m really excited for this opportunity and I hope it goes beyond the basics I’ve already learned. I’m looking forward to real challenges, advanced projects, and hands-on experience that will push me to grow.</t>
  </si>
  <si>
    <t xml:space="preserve">Mariam Ashraf Megahed </t>
  </si>
  <si>
    <t xml:space="preserve">Myinventionfuture@gmail.com </t>
  </si>
  <si>
    <t>https://www.linkedin.com/in/mariam-ashraf-0aba1b255?utm_source=share&amp;utm_campaign=share_via&amp;utm_content=profile&amp;utm_medium=android_app</t>
  </si>
  <si>
    <t>https://drive.google.com/open?id=1RnM5pnNVDIZOKXmw8aKnzoOgHy7GWEP2</t>
  </si>
  <si>
    <t xml:space="preserve">To learn ai </t>
  </si>
  <si>
    <t xml:space="preserve">I am passionate in this field </t>
  </si>
  <si>
    <t>Machine Learning, Deep Learning, NLP &amp; LLMs, Computer Vision, Agentic AI, AI Tools</t>
  </si>
  <si>
    <t xml:space="preserve">Moaz Hamdy Ellithy </t>
  </si>
  <si>
    <t>01140881806</t>
  </si>
  <si>
    <t>moazellithy74@gmail.com</t>
  </si>
  <si>
    <t>https://www.linkedin.com/in/moazellithy</t>
  </si>
  <si>
    <t>https://drive.google.com/open?id=1Ls6jmZqEPxuHvYZQbAl_XPpD6RSuCwzv</t>
  </si>
  <si>
    <t>I want this scholarship to improve my skills, gain knowledge, and build a strong future</t>
  </si>
  <si>
    <t>Because I am motivated, hardworking, and ready to learn and grow</t>
  </si>
  <si>
    <t>Data Analysis ( using python ), NLP &amp; LLMs</t>
  </si>
  <si>
    <t>هشام حمدى سعد أبوسعدة</t>
  </si>
  <si>
    <t>01552871701</t>
  </si>
  <si>
    <t>hishament148@gmail.com</t>
  </si>
  <si>
    <t>https://www.linkedin.com/in/hisham-hamdy-abosaada/</t>
  </si>
  <si>
    <t>https://drive.google.com/open?id=1XWDbFe9BAlDe3Yt3Rcism38n34GZ1Pis</t>
  </si>
  <si>
    <t>I want this scholarship because it offers a structured and practical pathway to deeply understand artificial intelligence and apply it in real-world scenarios. Artificial intelligence is a rapidly growing field that plays a critical role in shaping the future of technology and the job market, and this scholarship provides the ideal environment to build strong, industry-relevant skills.
Through this program, I aim to gain hands-on experience, work on real projects, and collaborate with talented peers and mentors. The opportunity to participate in a hackathon and an employment-focused conference is especially important to me, as it will help me translate technical knowledge into practical impact and career opportunities.
This scholarship aligns perfectly with my long-term goals of building a solid career in AI and contributing to innovative solutions that create real value for society. I am highly motivated to commit the required time and effort to fully benefit from the program and achieve outstanding results.</t>
  </si>
  <si>
    <t>learning, and a clear goal of applying artificial intelligence to solve real-world problems. I am highly motivated to develop my skills in AI, not only on a theoretical level, but also through practical projects, teamwork, and competitions such as hackathons.
I have a proven ability to learn independently, manage my time effectively, and continuously improve my technical and analytical skills. I am also eager to engage with mentors, collaborate with peers from different backgrounds, and contribute positively to the learning community throughout the scholarship.
This scholarship represents a major step toward my career goals, and I am fully committed to making the most out of its content, challenges, and opportunities. I am confident that my dedication, adaptability, and passion for artificial intelligence will allow me to add value to the program and successfully represent it in its final outcomes, including the hackathon and employment conference.</t>
  </si>
  <si>
    <t>Data Analysis ( using python ), Machine Learning, Deep Learning, NLP &amp; LLMs, Computer Vision, Agentic AI</t>
  </si>
  <si>
    <t xml:space="preserve">Sahar Amr </t>
  </si>
  <si>
    <t>01064454456</t>
  </si>
  <si>
    <t>Saharamrahmed@gmail.con</t>
  </si>
  <si>
    <t>https://www.linkedin.com/in/</t>
  </si>
  <si>
    <t>https://drive.google.com/open?id=1LW7yuT8AnfH-7bK_XXVHBo_1Rz6miEbK</t>
  </si>
  <si>
    <t xml:space="preserve">To upgrade my skills </t>
  </si>
  <si>
    <t xml:space="preserve">I’m interested about this field , I shearing for real opportunities </t>
  </si>
  <si>
    <t>Mathematics, Introduction to Data Engineering ( Theoratical ), Deep Learning, MLOps ( using AWS and/or Huwawie Cloud ), NLP &amp; LLMs</t>
  </si>
  <si>
    <t xml:space="preserve">Mustafa Kamal Abd El Mohsen </t>
  </si>
  <si>
    <t>01123966763</t>
  </si>
  <si>
    <t>mostafakamal1065@gmail.com</t>
  </si>
  <si>
    <t>https://www.linkedin.com/in/mostafakamal4</t>
  </si>
  <si>
    <t>https://drive.google.com/open?id=1c_ZGyna4ea73_WkFj8KcybxVE2k46ofO</t>
  </si>
  <si>
    <t>I want to learn Intelligence in a practical way that helps me improve my work and decision-making. I believe AI is Biscs part of the future of technology and business and I want to build strong knowledge</t>
  </si>
  <si>
    <t xml:space="preserve">Because I am committed and serious about learning and I focus on practical application rather than certificates. I have hands on experience in Business and Technology </t>
  </si>
  <si>
    <t>I need this Scholarship</t>
  </si>
  <si>
    <t xml:space="preserve">Mina Samy Naeem </t>
  </si>
  <si>
    <t>01280278858</t>
  </si>
  <si>
    <t>minasamynaeem@gmail.com</t>
  </si>
  <si>
    <t>linkedin.com/in/mina-data-ai</t>
  </si>
  <si>
    <t>https://drive.google.com/open?id=1ggNMCYlzsqqLqoX2id5YZYXj7i1A161j</t>
  </si>
  <si>
    <t xml:space="preserve">i want to make real end to end projects to production </t>
  </si>
  <si>
    <t>I’m highly motivated to gain real, production-level AI experience. and my main goal is to build complete end-to-end projects, not just models. I’m committed to learning, practicing, and contributing actively throughout the scholarship, hackathon, and final projects.</t>
  </si>
  <si>
    <t>Mathematics, Introduction to Data Engineering ( Theoratical ), Deep Learning, MLOps ( using AWS and/or Huwawie Cloud ), NLP &amp; LLMs, Computer Vision, Agentic AI</t>
  </si>
  <si>
    <t xml:space="preserve">thanks </t>
  </si>
  <si>
    <t xml:space="preserve">Yosef Ahmed Nabil Bazid </t>
  </si>
  <si>
    <t>01221776860</t>
  </si>
  <si>
    <t>yosef983989@gmail.com</t>
  </si>
  <si>
    <t>https://www.linkedin.com/in/yosef-ahmed-a84ba52ba?utm_source=share&amp;utm_campaign=share_via&amp;utm_content=profile&amp;utm_medium=android_app</t>
  </si>
  <si>
    <t>https://drive.google.com/open?id=1uXtSyV0wXc4uWXbZz7wcJbAl9Gcohalh</t>
  </si>
  <si>
    <t xml:space="preserve">Cuz it will help me alot with my graduation project </t>
  </si>
  <si>
    <t xml:space="preserve">Cuz I'm a motivated person n respect my time n always like to learn new things </t>
  </si>
  <si>
    <t xml:space="preserve">A friend </t>
  </si>
  <si>
    <t>Machine Learning, AI Tools</t>
  </si>
  <si>
    <t xml:space="preserve">تقى محمد عاطف رجب محمد احمد </t>
  </si>
  <si>
    <t>01118681890</t>
  </si>
  <si>
    <t>tukkaatef152@gmail.com</t>
  </si>
  <si>
    <t>https://www.linkedin.com/in/tukka-mohamed-b042a5312?utm_source=share_via&amp;utm_content=profile&amp;utm_medium=member_ios</t>
  </si>
  <si>
    <t>https://drive.google.com/open?id=1QZX65LngZRFC6ddfVtA3E8p34cSidzib</t>
  </si>
  <si>
    <t>i am interested in AI track and how it used in real world as i am a cs student, i don't just want to study it but also to understand it deeply and apply it through practical projects</t>
  </si>
  <si>
    <t xml:space="preserve">I’m a motivated and hardworking student who takes full responsibility for my own learning, always looking to improve through hands-on experience and continuous learning. I am self-motivated too, fast learner, disciplined, and always trying to get better at my skills,making sure I truly understand what I’m doing and give it my best effort </t>
  </si>
  <si>
    <t xml:space="preserve">post on facebook from aitroniX </t>
  </si>
  <si>
    <t>Python Basics, Mathematics, Data Preprocessing, Data Analysis ( using python ), Introduction to Data Engineering ( Theoratical ), Machine Learning, Deep Learning, MLOps ( using AWS and/or Huwawie Cloud ), NLP &amp; LLMs</t>
  </si>
  <si>
    <t>Abdelrahman sherif kamel abdelmenam</t>
  </si>
  <si>
    <t>01128630120</t>
  </si>
  <si>
    <t>abdulrahmanshereef@gmail.com</t>
  </si>
  <si>
    <t>https://www.linkedin.com/in/abdelrahman-sherif-203b66198</t>
  </si>
  <si>
    <t>https://drive.google.com/open?id=1DjsmcA6cjpkUSjpbigDnHqr1Y8yKJAEw</t>
  </si>
  <si>
    <t>I want this scholarship because it will give me hands-on exposure to real AI and embedded systems applications, not just theory. AI-Tronix combines artificial intelligence with practical engineering, which strongly aligns with my background and career goals. This opportunity would allow me to learn from industry professionals, work on real projects, and strengthen my technical and problem-solving skills while contributing meaningful value to the team.</t>
  </si>
  <si>
    <t>I am a motivated engineering student with a strong background in AI, data analysis, and problem-solving. I have experience working on real AI projects, participating in hackathons, and translating ideas into practical solutions. I learn quickly, work well in teams, and take responsibility seriously. Beyond technical skills, I bring commitment, curiosity, and a strong work ethic, which will allow me to actively contribute and grow during the internship.</t>
  </si>
  <si>
    <t>Data Preprocessing, Data Analysis ( using python ), Machine Learning, Deep Learning, NLP &amp; LLMs, Computer Vision, Agentic AI, AI Tools</t>
  </si>
  <si>
    <t>Thank u and I hope you consider me in this internship</t>
  </si>
  <si>
    <t>Ahmed Mohamed Fouad Zaky</t>
  </si>
  <si>
    <t>01060396325</t>
  </si>
  <si>
    <t>ahmed6mohamed6@gmail.com</t>
  </si>
  <si>
    <t>https://linkedin.com/in/ahmed-zaky-0a7692132/</t>
  </si>
  <si>
    <t>https://drive.google.com/open?id=1Zil6KcpfCuekc0X3hgzjTbhxeEWhHaqv</t>
  </si>
  <si>
    <t>Transit from SWE to Machine Learning</t>
  </si>
  <si>
    <t>I have some knowledge about AI already</t>
  </si>
  <si>
    <t>Mathematics, Data Preprocessing, Machine Learning, Deep Learning, NLP &amp; LLMs, Agentic AI, AI Tools</t>
  </si>
  <si>
    <t xml:space="preserve">Thanks for giving me the opportunity </t>
  </si>
  <si>
    <t xml:space="preserve">Huda tareq sayed </t>
  </si>
  <si>
    <t>01030300265</t>
  </si>
  <si>
    <t>hudatareq62@gmail.com</t>
  </si>
  <si>
    <t>https://www.linkedin.com/in/huda-tareq-38018b25a/</t>
  </si>
  <si>
    <t>https://drive.google.com/open?id=15NbpR3k-FqB2av1Evys3jYna834TNMtz</t>
  </si>
  <si>
    <t xml:space="preserve">I want this scholarship to strengthen my understanding of Artificial Intelligence and gain practical experience in the field. As a Computer Science student interested in AI, I see this program as a good opportunity to learn in a structured way and work on real projects. It will help me develop my skills and prepare better for future career opportunities.
</t>
  </si>
  <si>
    <t xml:space="preserve">I am a motivated Computer Science student with a strong interest in Artificial Intelligence. I am committed to learning, willing to put in consistent effort, and eager to apply what I learn in practical projects. I take learning seriously and always aim to improve my skills.
</t>
  </si>
  <si>
    <t>I am highly motivated to learn and open to feedback. I am eager to gain practical experience and make the most of this opportunity if accepted.</t>
  </si>
  <si>
    <t xml:space="preserve">محمد عمرو محمد عبد الظاهر </t>
  </si>
  <si>
    <t>01003267625</t>
  </si>
  <si>
    <t>wwrm37179@gmail.com</t>
  </si>
  <si>
    <t>https://www.linkedin.com/in/mohamed-abdelzaher1?utm_source=share&amp;utm_campaign=share_via&amp;utm_content=profile&amp;utm_medium=ios_app</t>
  </si>
  <si>
    <t>https://drive.google.com/open?id=1yQ3I5E7g7DQH1m1qVExPnzLbdINc3G2F</t>
  </si>
  <si>
    <t>نا عايز المنحة لأنها هتساعدني أكمّل تعليمي وأطوّر مهاراتي بدون ضغط مادي.
المنحة هتديني فرصة أركّز على الدراسة واكتساب خبرة عملية تساعدني في تحقيق أهدافي المستقبلية
كمان المنحة بالنسبة لي مش مجرد دعم مادي، لكنها فرصة حقيقية لتطوير نفسي وبناء مستقبل أفضل وتمكّنني من استخدام العلم اللي هتعلمه في خدمة المجتمع وتحقيق نجاح حقيقي في مجالي.</t>
  </si>
  <si>
    <t>انا  شخص طموح ومجتهد ولدي رغبة قوية في التعلم وتطوير نفسي باستمرار. أحرص دائمًا على استغلال أي فرصة تساعدني على تحسين مهاراتي وتحقيق أهدافي الأكاديمية والمهنية
كما أنني أتميز بالالتزام وتحمل المسؤولية والعمل الجاد وأؤمن أن هذه المنحة ستساعدني على إخراج أفضل ما لدي وسأكون ممثلًا مشرفًا لها من خلال التفوق الدراسي والمشاركة الإيجابية.</t>
  </si>
  <si>
    <t>من خلال البشمهندس احمد حافظ</t>
  </si>
  <si>
    <t>Python Basics, Data Analysis ( using python ), Introduction to Data Engineering ( Theoratical ), Machine Learning, AI Tools</t>
  </si>
  <si>
    <t>Ali Ibrahim Abdel-Sadiq</t>
  </si>
  <si>
    <t>01152890859</t>
  </si>
  <si>
    <t>aliibrahim01122663801@gmail.com</t>
  </si>
  <si>
    <t>https://www.linkedin.com/in/ali-keshar-5986a5218?utm_source=share&amp;utm_campaign=share_via&amp;utm_content=profile&amp;utm_medium=android_app</t>
  </si>
  <si>
    <t>https://drive.google.com/open?id=1Uvmpi3xMujZ_-MhD2s_S4aHdd9O8-Fzf</t>
  </si>
  <si>
    <t>For work</t>
  </si>
  <si>
    <t>Because I will be useful in the future</t>
  </si>
  <si>
    <t>From my friend</t>
  </si>
  <si>
    <t>Data Analysis ( using python ), Machine Learning, Deep Learning, Agentic AI, AI Tools, All AI Topics</t>
  </si>
  <si>
    <t>عايز اتعلم ويبقى ليا شئن فى المجتمع</t>
  </si>
  <si>
    <t xml:space="preserve">بسنت اشرف سعيد على بتانده </t>
  </si>
  <si>
    <t>01014201938</t>
  </si>
  <si>
    <t>bassantashraf089@gmail.com</t>
  </si>
  <si>
    <t>https://www.linkedin.com/in/bassant-ashraf-2182a52a3?utm_source=share&amp;utm_campaign=share_via&amp;utm_content=profile&amp;utm_medium=ios_app</t>
  </si>
  <si>
    <t>https://drive.google.com/open?id=1S-2fD0N364iVPwnSJHnyJjpzLapZjkZd</t>
  </si>
  <si>
    <t>I am eager to join this scholarship to advance my practical knowledge in AI and Cloud computing, specifically within the Huawei Cloud ecosystem, which I have already started exploring through my HCCDA certification. My goal is to bridge the gap between my background in Industrial Control Engineering and cutting-edge AI applications. This opportunity will provide the high-level mentorship and technical resources I need to transition from academic projects to professional-grade AI solutions.</t>
  </si>
  <si>
    <t>You should accept me because I possess a unique blend of Hardware and Software skills combined with a proven commitment to continuous learning. I have successfully:
Earned the Huawei Cloud Developer Certification (HCCDA).
Served as an AI Ambassador for the NTI.
Designed and built complex technical projects like an Autonomous Line Follower Robot and a Half-Bridge Inverter. My experience in Cloud fundamentals, auto-scaling, and hands-on PCB design demonstrates that I have the technical discipline and the 'Growth Mindset' necessary to excel in this advanced program.</t>
  </si>
  <si>
    <t xml:space="preserve">Channel WhatsApp </t>
  </si>
  <si>
    <t xml:space="preserve">اسماء محمود حسين جويد </t>
  </si>
  <si>
    <t>01005021568</t>
  </si>
  <si>
    <t>asmaahossien412@gmail.com</t>
  </si>
  <si>
    <t>https://www.linkedin.com/in/asmaa-mahmoud-504888338</t>
  </si>
  <si>
    <t>https://drive.google.com/open?id=15j-imOG7dDNwnkWtWTFzf39h_QdtZrqx</t>
  </si>
  <si>
    <t xml:space="preserve">لاني مهتمة جدا وشغوفه جدا بالذكاء الاصطناعي وارغب في أحداث تغيير في العالم وتطوير الحياة باستخدام الذكاء الاصطناعي ولأني اري ان الذكاء الاصطناعي هو عامل أساسي حاليا في حياة جميع البشر </t>
  </si>
  <si>
    <t>ليس لأنني الافضل في الذكاء الاصطناعي ولكن لاني محبه جدا لهذا المجال ولاني ارغب في أحداث تغييرات باستخدام الذكاء الاصطناعي وتسهيل حياة البشر ولاني استطيع ان اعطيه كل وقتي وجهدي</t>
  </si>
  <si>
    <t xml:space="preserve">عن طريق جروبات الجامعة </t>
  </si>
  <si>
    <t xml:space="preserve">لا شكرا </t>
  </si>
  <si>
    <t xml:space="preserve">rahma hassaan abdelkader </t>
  </si>
  <si>
    <t>01147840216</t>
  </si>
  <si>
    <t>rahmahassaan75@gmai.com</t>
  </si>
  <si>
    <t>www.linkedin.com/in/rahma-hassaan👑-3703142ab</t>
  </si>
  <si>
    <t>https://drive.google.com/open?id=1j5Z6lPGgRFiUd0BLXImneJgljsTJmUxo</t>
  </si>
  <si>
    <t>I want this scholarship to develop my skills as an AI and Computer Vision engineer. It will give me valuable hands-on experience in a real work environment, allow me to work with professional teams, and help me gain a good job opportunity that matches my skills and career goals.</t>
  </si>
  <si>
    <t>"I hope you accept me because I am a student in the Faculty of Computers and Artificial Intelligence with a solid background in the field. I am actively working on real-world projects that can bring value to your company, including AI, Machine Learning, and Computer Vision projects. I am eager to learn, contribute, and grow with a team that is as passionate about innovation as I am."</t>
  </si>
  <si>
    <t>form linkedin</t>
  </si>
  <si>
    <t>Mohamed Adel</t>
  </si>
  <si>
    <t>01020093857</t>
  </si>
  <si>
    <t>mohamedfoda391@gmail.com</t>
  </si>
  <si>
    <t>linkedin.com/in/mohamedadelfouda</t>
  </si>
  <si>
    <t>https://drive.google.com/open?id=1R6b5Y7XGBE8mUIFkJl-kLngzmHF-ZHfQ</t>
  </si>
  <si>
    <t>More Experience and Learn more and prepare for the job market.</t>
  </si>
  <si>
    <t>Based on my university studies and previous projects, my goal is to develop and prepare for a better future.</t>
  </si>
  <si>
    <t>Introduction to Data Engineering ( Theoratical ), Deep Learning, MLOps ( using AWS and/or Huwawie Cloud ), NLP &amp; LLMs, Agentic AI, AI Tools, All AI Topics</t>
  </si>
  <si>
    <t xml:space="preserve">Muhammed Hisham Hussien </t>
  </si>
  <si>
    <t>01276689259</t>
  </si>
  <si>
    <t>mohamed.hesham2577@gmail.com</t>
  </si>
  <si>
    <t>https://www.linkedin.com/in/muhamedhisham?utm_source=share&amp;utm_campaign=share_via&amp;utm_content=profile&amp;utm_medium=android_app</t>
  </si>
  <si>
    <t>https://drive.google.com/open?id=1z2arLgWCLY1hk_EALLGI_9F5JPVg1QCg</t>
  </si>
  <si>
    <t xml:space="preserve">increase income </t>
  </si>
  <si>
    <t xml:space="preserve">determination </t>
  </si>
  <si>
    <t>online</t>
  </si>
  <si>
    <t>Python Basics, Data Analysis ( using python ), Introduction to Data Engineering ( Theoratical ), Machine Learning, MLOps ( using AWS and/or Huwawie Cloud ), All AI Topics</t>
  </si>
  <si>
    <t xml:space="preserve">want to get job </t>
  </si>
  <si>
    <t xml:space="preserve">Ahmed Abdelaziz </t>
  </si>
  <si>
    <t xml:space="preserve">011-55-099-245 </t>
  </si>
  <si>
    <t>des.abdelaziz@gmail.com</t>
  </si>
  <si>
    <t>https://www.linkedin.com/in/abdelaziz1990?utm_source=share&amp;utm_campaign=share_via&amp;utm_content=profile&amp;utm_medium=android_app</t>
  </si>
  <si>
    <t>https://drive.google.com/open?id=1ZtA3yxQL5el3a-96P9SJacN8ua95rlri</t>
  </si>
  <si>
    <t xml:space="preserve">To develop my skills with AI tools and use in my designs and campaigns </t>
  </si>
  <si>
    <t>because I am highly motivated to learn AI for real-world impact, not just theory. I have a strong growth mindset, as I'm not in my second year in MBA marketing field I’m committed to continuous learning, and I actively apply new skills to solve practical problems. This scholarship would help me build the expertise needed to use AI responsibly and contribute positively to my community and future workplace.</t>
  </si>
  <si>
    <t>Machine Learning, Deep Learning, Agentic AI, AI Tools</t>
  </si>
  <si>
    <t xml:space="preserve">Need to know more details about the scholarship content and details before we start </t>
  </si>
  <si>
    <t xml:space="preserve">Mariam Mostafa Ahmed </t>
  </si>
  <si>
    <t>01050436659</t>
  </si>
  <si>
    <t>mariammostafaahmed30@gmail.com</t>
  </si>
  <si>
    <t>www.linkedin.com/in/mariam-mostafa-23b72a2b5</t>
  </si>
  <si>
    <t>https://drive.google.com/open?id=1cluljAd0_Rx8UCyNSVMDVOgFkuJXB_NM</t>
  </si>
  <si>
    <t>I am a Computer Science student entering my final year, and I am planning to build an AI-based graduation project. While I have a strong foundation in Data Analysis and Python, I need this scholarship to master Machine Learning and Deep Learning concepts deeply. This program offers the structured roadmap I need to transition from basic knowledge to building advanced AI models efficiently</t>
  </si>
  <si>
    <t>I combine technical readiness with proven commitment. I am not starting from scratch I have a solid foundation in Python and have already applied it in a practical Sentiment Analysis project. Furthermore, my background in competitive programming (ECPC) and completion of intensive bootcamps (like NTI 120-hours) demonstrate that I am a disciplined learner who finishes what she starts. I am fully prepared to handle the advanced workload of this track</t>
  </si>
  <si>
    <t>Mathematics, Data Preprocessing, Machine Learning, Deep Learning</t>
  </si>
  <si>
    <t>Abdallah Naji Mahmoud Mohamed</t>
  </si>
  <si>
    <t>01029679423</t>
  </si>
  <si>
    <t>Abdallahnajimahmoud@gmail.com</t>
  </si>
  <si>
    <t>https://www.linkedin.com/in/abdallah-naji-mahmoud?utm_source=share&amp;utm_campaign=share_via&amp;utm_content=profile&amp;utm_medium=android_app</t>
  </si>
  <si>
    <t>https://drive.google.com/open?id=1jEBmsXhtdpILw1q8EGB2NhOsHRRc2kCB</t>
  </si>
  <si>
    <t>I am applying for this AI scholarship because I believe artificial intelligence is a key driver of the future, especially in engineering and technology-based solutions.
This scholarship will give me the practical knowledge and hands-on experience I need to understand AI concepts and apply them to real-world problems.
My goal is to use AI to develop smart, efficient, and innovative projects that have a positive impact on society and industry.</t>
  </si>
  <si>
    <t>You should accept me because I am highly motivated, disciplined, and eager to learn.
I have an engineering background, which helps me understand problem-solving, logic, and analytical thinking—essential skills in AI.
I am committed to fully engaging in this scholarship, completing all requirements, and using the knowledge gained to create meaningful projects and contribute to the AI community.</t>
  </si>
  <si>
    <t>Python Basics, AI Tools, All AI Topics</t>
  </si>
  <si>
    <t>I am very excited about this opportunity and fully committed to making the most out of this scholarship. Thank you for considering my application.</t>
  </si>
  <si>
    <t xml:space="preserve">Muhammad Mahmoud Ameen </t>
  </si>
  <si>
    <t>01009461487</t>
  </si>
  <si>
    <t>mohamedmahmoudameen45@gmail.com</t>
  </si>
  <si>
    <t>https://www.linkedin.com/in/muhammad-mahmoud-ameen?utm_source=share&amp;utm_campaign=share_via&amp;utm_content=profile&amp;utm_medium=android_app</t>
  </si>
  <si>
    <t>https://drive.google.com/open?id=1rYB_d85xHV4Ne5sotRmDQmw9sPFRCSLL</t>
  </si>
  <si>
    <t>IBecause it will help me and add a lot to my life.</t>
  </si>
  <si>
    <t>Because I am hardworking and always strive for success, and this will benefit you.</t>
  </si>
  <si>
    <t xml:space="preserve">Internet </t>
  </si>
  <si>
    <t>george ezzat thabet</t>
  </si>
  <si>
    <t>01224070512</t>
  </si>
  <si>
    <t>georgeazzat3@gmail.com</t>
  </si>
  <si>
    <t>https://www.linkedin.com/in/george-azzat-82991328b?utm_source=share&amp;utm_campaign=share_via&amp;utm_content=profile&amp;utm_medium=android_app</t>
  </si>
  <si>
    <t>https://drive.google.com/open?id=1dSziAzUuk1oBJ5miCojZPt3vN0h99-4o</t>
  </si>
  <si>
    <t xml:space="preserve">I want this scholarship because Artificial Intelligence is one of the most important technologies shaping the future, and I am highly motivated to learn it deeply </t>
  </si>
  <si>
    <t xml:space="preserve">You should accept me because I am a dedicated and motivated learner who is eager to grow and improve </t>
  </si>
  <si>
    <t xml:space="preserve">from social media </t>
  </si>
  <si>
    <t>Python Basics, Machine Learning, Deep Learning, Agentic AI, AI Tools, All AI Topics</t>
  </si>
  <si>
    <t>Mathew Emad Moein</t>
  </si>
  <si>
    <t>01008773580</t>
  </si>
  <si>
    <t>mathewemad@aol.com</t>
  </si>
  <si>
    <t>https://www.linkedin.com/in/mathew-emad</t>
  </si>
  <si>
    <t>https://drive.google.com/open?id=1yNgSZS76Lxvw8w2qYJMkTFtTpNpcmduN</t>
  </si>
  <si>
    <t>I am really interested in getting into the new immerging field of MLops, and Data engineering. I find it quiet fascinating and exciting but can't seem to find many good resources on it. I myself have studied Data Analysis with the Digital Egyptian Pioneers initiative and I want to get greater insight.</t>
  </si>
  <si>
    <t xml:space="preserve">I am quite the flexible guy when it comes to tech learning. I consider myself a fast learner, faster than most of my peers. But not only fast. I usually excel at whatever field I am interested in at the moment. I have just finished my data analysis internship and I wish to continue that momentum. </t>
  </si>
  <si>
    <t xml:space="preserve">My university newsletter recommended it. Asyut university </t>
  </si>
  <si>
    <t>Mathematics, Data Preprocessing, Introduction to Data Engineering ( Theoratical ), Machine Learning, Deep Learning, MLOps ( using AWS and/or Huwawie Cloud ), NLP &amp; LLMs, Computer Vision, Agentic AI, AI Tools, All AI Topics</t>
  </si>
  <si>
    <t>Thank you for considering me and reading this. God bless</t>
  </si>
  <si>
    <t xml:space="preserve">Maisoun Ebrahim </t>
  </si>
  <si>
    <t>01066495940</t>
  </si>
  <si>
    <t>maysounebrahim@gmail.com</t>
  </si>
  <si>
    <t>https://www.linkedin.com/in/maisoun-ebrahim-51b7432a5?utm_source=share&amp;utm_campaign=share_via&amp;utm_content=profile&amp;utm_medium=android_app</t>
  </si>
  <si>
    <t>https://drive.google.com/open?id=1kLW4mi05yjzyeu-GGpmVczWe1c7YgcLY</t>
  </si>
  <si>
    <t>I am applying for this scholarship to strengthen my practical and theoretical skills in artificial intelligence in line with my academic background. The structured AI content, hands-on learning, and hackathon opportunity will help me apply what I learn to real-world problems and build strong projects. Additionally, the career-focused conference aligns with my goal of preparing for the job market and future academic growth in AI.</t>
  </si>
  <si>
    <t>I have a strong academic background in artificial intelligence, along with hands-on learning experience and a high level of commitment. I am a motivated learner with leadership and teamwork experience, and I consistently strive for excellence in everything I undertake. I am confident that I will actively contribute to the program, perform at a high level, and make the most of the learning and collaboration opportunities offered by this scholarship.</t>
  </si>
  <si>
    <t>Through social media .</t>
  </si>
  <si>
    <t>Data Preprocessing, Data Analysis ( using python ), Introduction to Data Engineering ( Theoratical ), Machine Learning, Deep Learning, MLOps ( using AWS and/or Huwawie Cloud ), NLP &amp; LLMs, Computer Vision, Agentic AI, AI Tools, All AI Topics</t>
  </si>
  <si>
    <t xml:space="preserve">Amira Abd El_Rahman Saqr </t>
  </si>
  <si>
    <t>01223431910</t>
  </si>
  <si>
    <t>amirasaqr263@gmail.com</t>
  </si>
  <si>
    <t>https://www.linkedin.com/in/amira-abd-el-rahman-229a90372</t>
  </si>
  <si>
    <t>https://drive.google.com/open?id=17L5h2KdeHNDFQ3lfX0oKPnB89x83Z4v2</t>
  </si>
  <si>
    <t>To improve my skills and get a chance for work</t>
  </si>
  <si>
    <t xml:space="preserve">Because I have some experience </t>
  </si>
  <si>
    <t>From linked in</t>
  </si>
  <si>
    <t>Data Analysis ( using python ), Introduction to Data Engineering ( Theoratical ), Deep Learning, MLOps ( using AWS and/or Huwawie Cloud ), NLP &amp; LLMs, Agentic AI, AI Tools, All AI Topics</t>
  </si>
  <si>
    <t xml:space="preserve">Ahmed Mahran Elsayed </t>
  </si>
  <si>
    <t>01023032809</t>
  </si>
  <si>
    <t>7madagk@gmail.com</t>
  </si>
  <si>
    <t>https://www.linkedin.com/in/ahmed-mahran-7a3818326?utm_source=share&amp;utm_campaign=share_via&amp;utm_content=profile&amp;utm_medium=android_app</t>
  </si>
  <si>
    <t>https://drive.google.com/open?id=1R0-kLLq3b8VmZOgHYIfePaErPwfFiySZ</t>
  </si>
  <si>
    <t xml:space="preserve">Gain experience </t>
  </si>
  <si>
    <t>Because I learn fast</t>
  </si>
  <si>
    <t>Instant</t>
  </si>
  <si>
    <t>Introduction to Data Engineering ( Theoratical ), All AI Topics</t>
  </si>
  <si>
    <t xml:space="preserve">I want it worthy to attend </t>
  </si>
  <si>
    <t>ahmedalngar</t>
  </si>
  <si>
    <t>01013966049</t>
  </si>
  <si>
    <t>ahmedalngar797@gmail.com</t>
  </si>
  <si>
    <t>https://www.linkedin.com/in/ahmed-alnger-a1333a320/</t>
  </si>
  <si>
    <t>https://drive.google.com/open?id=15GyOoPTHkiAfJN1pLz4v6uGKzHrkbHFl</t>
  </si>
  <si>
    <t>"I am applying for this scholarship because I want to lead the digital transformation in my region. As AI reshapes the global economy, I want to ensure that my country is at the forefront of this revolution. By mastering AI through this program, I intend to develop localized AI applications that boost industrial productivity and bridge the digital divide. This scholarship is the bridge between my current potential and my goal of becoming a leader in the tech ecosystem."</t>
  </si>
  <si>
    <t>You should accept me because I bring a unique blend of technical curiosity and a commitment to ethical AI. While many focus solely on the power of algorithms, I am dedicated to understanding how these tools affect real people. I don’t just want to build faster models; I want to build responsible ones. My background in [mention a project or a skill] has prepared me to contribute meaningfully to group discussions and research projects from day one</t>
  </si>
  <si>
    <t xml:space="preserve">my frind </t>
  </si>
  <si>
    <t>Mostafa samir Kamel</t>
  </si>
  <si>
    <t>01090500290</t>
  </si>
  <si>
    <t>mostafasameer858@gmail.com</t>
  </si>
  <si>
    <t>https://www.linkedin.com/in/mostafasameer00</t>
  </si>
  <si>
    <t>https://drive.google.com/open?id=1HH6m0K8pdWgiSmp7bNvGGvwuK3zEYXqO</t>
  </si>
  <si>
    <t>I want to join this scholarship to deepen my knowledge and practical experience in Artificial Intelligence and Data Science, and to build a strong professional profile aligned with real market needs.
As a final-year AI &amp; Data Science student, I already have hands-on experience in machine learning, data analysis, and deep learning, but I believe this scholarship will help me structure my knowledge, learn advanced topics like MLOps, NLP, and Agentic AI, and work on real-world projects and hackathons.
I am especially interested in learning from industry professionals and preparing myself for employment through the career conference at the end of the scholarship.</t>
  </si>
  <si>
    <t>You should accept me because I already have a strong technical foundation and a proven record of commitment to learning and practical application.
I have completed multiple AI, machine learning, NLP, and data analysis projects, in addition to an internship as a Machine Learning Engineer where I worked on real datasets, preprocessing, EDA, and model optimization.
I am highly motivated, disciplined, and used to self-learning alongside structured programs. I believe I will be an active participant, add value during the scholarship, and perform strongly in the hackathon, representing the program in a professional way.</t>
  </si>
  <si>
    <t>Eng. Ahmed Hafez</t>
  </si>
  <si>
    <t>To be honest, I don't have enough money to pay the 2,000 L.E scholarship fee. However, I promise to abide by all the terms and conditions, attend lectures, and fulfill all obligations.</t>
  </si>
  <si>
    <t xml:space="preserve">Ahmed Ayman </t>
  </si>
  <si>
    <t>01150365179</t>
  </si>
  <si>
    <t>sirahmedayman@gmail.com</t>
  </si>
  <si>
    <t>https://www.linkedin.com/in/‪ahmed-ayman‬‏-3a9900312?utm_source=share_via&amp;utm_content=profile&amp;utm_medium=member_android</t>
  </si>
  <si>
    <t>https://drive.google.com/open?id=1Piu0_z9j-XyzmXCo-7ptBO1IID4GD4Sb</t>
  </si>
  <si>
    <t>I want to improve my skills further, get a suitable job, and prove myself.</t>
  </si>
  <si>
    <t>I have solid experience in coding and strong problem-solving skills. I am highly motivated, ambitious, and genuinely passionate about this field. I am always eager to learn, improve myself, and apply my knowledge to build real-world solutions.</t>
  </si>
  <si>
    <t xml:space="preserve"> Aitronix</t>
  </si>
  <si>
    <t>Mathematics, Introduction to Data Engineering ( Theoratical ), MLOps ( using AWS and/or Huwawie Cloud ), Computer Vision, Agentic AI</t>
  </si>
  <si>
    <t>nothing</t>
  </si>
  <si>
    <t xml:space="preserve">Alaa Youssef Shalaby </t>
  </si>
  <si>
    <t>01032465605</t>
  </si>
  <si>
    <t>shalabyalaa71@gmail.com</t>
  </si>
  <si>
    <t>https://www.linkedin.com/in/alaa-shalaby71</t>
  </si>
  <si>
    <t>https://drive.google.com/open?id=1OsNpp1j2Zs8HyTUWsyODJmssvzVZCiuA</t>
  </si>
  <si>
    <t xml:space="preserve">To improve my skills and have a mentor who can guide me and help me identify my mistakes and how to fix them.
</t>
  </si>
  <si>
    <t xml:space="preserve">Because I am hardworking and highly motivated to learn, and I consistently put effort into improving my skills </t>
  </si>
  <si>
    <t xml:space="preserve">From friend </t>
  </si>
  <si>
    <t>Python Basics, Mathematics, Data Preprocessing, Data Analysis ( using python ), Machine Learning, Deep Learning, Computer Vision</t>
  </si>
  <si>
    <t>I have a theoretical background in Computer Vision and Deep Learning, and I am currently enrolled in a course to improve my skills over the next two months</t>
  </si>
  <si>
    <t>Marwan Khalil Soliman</t>
  </si>
  <si>
    <t>01277845486</t>
  </si>
  <si>
    <t>marwankh305@gmail.com</t>
  </si>
  <si>
    <t>www.linkedin.com/in/marwan-khalil-049061273</t>
  </si>
  <si>
    <t>https://drive.google.com/open?id=1kjHwf5JzogQeUyK3SVINpaT_1KxmW8jw</t>
  </si>
  <si>
    <t>To leverage the program's flexibility in mastering specific AI topics essential for building intelligent mechatronics systems.</t>
  </si>
  <si>
    <t>I have the engineering foundation to apply AI in robotics, and I'm ready to utilize this scholarship to build smarter automation solutions.</t>
  </si>
  <si>
    <t>NLP &amp; LLMs, Computer Vision</t>
  </si>
  <si>
    <t xml:space="preserve">Nada matar </t>
  </si>
  <si>
    <t>01014686635</t>
  </si>
  <si>
    <t>nadom0795@gmail.com</t>
  </si>
  <si>
    <t>https://www.linkedin.com/in/nada-matar-825828263</t>
  </si>
  <si>
    <t>https://drive.google.com/open?id=1zYxHjutbFC2OTt5ermeZq5BYOmCsEy2R</t>
  </si>
  <si>
    <t xml:space="preserve">Learn about AI and It's tools to complete my graduation project </t>
  </si>
  <si>
    <t>You should accept me because I have a strong foundation in Python, machine learning, and data analysis, along with a clear passion for AI. I am highly motivated, eager to learn, and ready to apply my skills in real projects. This scholarship will help me grow professionally, and I am committed to making the most of this opportunity.</t>
  </si>
  <si>
    <t xml:space="preserve">Malak Mohammed Salah Mohammed Elsayed </t>
  </si>
  <si>
    <t>01148571444</t>
  </si>
  <si>
    <t>mlkmhmdslahmhmdalsyd@gmail.com</t>
  </si>
  <si>
    <t>https://www.linkedin.com/in/malak-mohammed-salah-0956192b1?utm_source=share&amp;utm_campaign=share_via&amp;utm_content=profile&amp;utm_medium=android_app</t>
  </si>
  <si>
    <t>https://drive.google.com/open?id=1HAbOoxeiYRqDeTnzPO9_0YbCVJJqKNr1</t>
  </si>
  <si>
    <t>I want this scholarship because I am very interested in data analysis and how data can be used to support better business decisions. As a Business Information Systems (BIS) student, my field already combines business and technology, and learning data analysis using Python is a strong step for my career path.
I have started building my skills in data analysis and tools like Power BI, and I want to strengthen my technical side by learning how to work with data using Python, including data cleaning, preprocessing, and extracting insights. This will help me move from using ready-made tools to understanding the data process more deeply.
I am also excited about the practical parts of the scholarship, especially the hackathon and the career event, because my goal is to apply what I learn in real projects and prepare myself for opportunities in the data field.</t>
  </si>
  <si>
    <t>You should accept me because I am a committed learner who combines technical interest with a business mindset. My BIS background helps me understand how AI can solve business problems, not just how models work technically.
I have previous exposure to the professional environment through trainings and academic projects, and I continuously work on improving myself through courses and self-learning. I also create educational content to help other students develop their skills, which reflects my passion for learning and sharing knowledge.
I am disciplined, goal-oriented, and serious about building a career in data and AI. If accepted, I will fully commit to the program, actively participate in sessions, and apply what I learn in projects and the final hackathon.</t>
  </si>
  <si>
    <t xml:space="preserve">Reem Adel AbdelAziz </t>
  </si>
  <si>
    <t>01007296090</t>
  </si>
  <si>
    <t>reemadel316@gmail.com</t>
  </si>
  <si>
    <t>www.linkedin.com/in/reem-adel-</t>
  </si>
  <si>
    <t>https://drive.google.com/open?id=1eEHPgK2mjkqYRvBEGGre2G5SZBJUxSXO</t>
  </si>
  <si>
    <t>I want to build a strong foundation in AI and be ready to the career as AI engineer. With my background in web development and the AI skills I hope to make real world AI application and solutions to real problems
This scholarship will provide me with the technical skills needed to become a job ready</t>
  </si>
  <si>
    <t>I should be accepted because my technical foundations are strong and I have commitment in learning and have clear career goal in AI with my background in software ,problem solving and solid programming skills, all of that enable me to quickly understand AI concepts. Currently I am building AI foundations and ready to join this scholarship to maximize my learning outcomes.</t>
  </si>
  <si>
    <t>Python Basics, Mathematics, Data Preprocessing, Data Analysis ( using python ), Machine Learning, Deep Learning, MLOps ( using AWS and/or Huwawie Cloud ), NLP &amp; LLMs, Computer Vision, Agentic AI, AI Tools</t>
  </si>
  <si>
    <t>I want to be accepted in this scholarship and get this opportunity to build a strong career in AI</t>
  </si>
  <si>
    <t xml:space="preserve">Rofaida Mohamed </t>
  </si>
  <si>
    <t>rofaidamo06@gmail.com</t>
  </si>
  <si>
    <t>https://www.linkedin.com/in/rofaida-mohamad-489379346?utm_source=share&amp;utm_campaign=share_via&amp;utm_content=profile&amp;utm_medium=android_app</t>
  </si>
  <si>
    <t>https://drive.google.com/open?id=12BESIYv2mPpzTfbI2mgqPvEtLl6pa_pB</t>
  </si>
  <si>
    <t>It's a good opportunity to become an AI Engineer, and the community seems professional</t>
  </si>
  <si>
    <t xml:space="preserve">I am motivated, disciplined, and passionate about AI, with a strong commitment to continuous learning and self-improvement </t>
  </si>
  <si>
    <t>Hager Ayman Abdullah Mekhimer</t>
  </si>
  <si>
    <t>01020829679</t>
  </si>
  <si>
    <t>hagar_1219a@eng.kfs.edu.eg</t>
  </si>
  <si>
    <t>https://www.linkedin.com/in/hager-ayman72?utm_source=share&amp;utm_campaign=share_via&amp;utm_content=profile&amp;utm_medium=android_app</t>
  </si>
  <si>
    <t>https://drive.google.com/open?id=1ybM_AWHblma21-Kt8PLByK-FTqTs_Bsh</t>
  </si>
  <si>
    <t>I am passionate about AI and want to deepen my practical skills and work on real-world applications. This scholarship will help me grow as an AI engineer and accelerate my professional development.</t>
  </si>
  <si>
    <t>I have a strong background in AI, hands-on project experience, and relevant certifications. I am dedicated, hardworking, and eager to learn and contribute to the program.</t>
  </si>
  <si>
    <t>Ahmed Mohamed Mohamed Saeed</t>
  </si>
  <si>
    <t>01095232844</t>
  </si>
  <si>
    <t>ahmedmohamed2011863@gmail.com</t>
  </si>
  <si>
    <t>www.linkedin.com/in/ahmed-saeed-nas1001</t>
  </si>
  <si>
    <t>https://drive.google.com/open?id=1ObPAMzCO1nbfBbkuYjnK_zVCAromx5qf</t>
  </si>
  <si>
    <t>I want this AI scholarship because I truly believe artificial intelligence will shape the future, and I want to be part of creating that future in a positive way.</t>
  </si>
  <si>
    <t>You should accept me because I am highly motivated to learn, committed to improving my skills in artificial intelligence,</t>
  </si>
  <si>
    <t>N\A</t>
  </si>
  <si>
    <t xml:space="preserve">Nada Tayel Khafagy </t>
  </si>
  <si>
    <t>01023760108</t>
  </si>
  <si>
    <t>taylenada022@gmail.com</t>
  </si>
  <si>
    <t>https://www.linkedin.com/in/nada-tayel-khafagy-54b28a318/</t>
  </si>
  <si>
    <t>https://drive.google.com/open?id=1q0lvUP8chvRyRAT-erXIapYwNQ_eC_gA</t>
  </si>
  <si>
    <t>I want this scholarship because it represents a focused opportunity to deepen my expertise in Artificial Intelligence and apply it to real-world, industry-relevant problems. While I already have a strong foundation in AI, Machine Learning, and Deep Learning through academic work and hands-on projects, I am keen to advance my skills in practical AI systems, model optimization, deployment, and scalable solutions.
The Aitronix AI scholarship aligns perfectly with my goal of transforming theoretical knowledge into production-ready AI applications. It offers structured learning, mentorship, and exposure to real-world use cases, which are essential for bridging the gap between academic models and impactful AI products. Receiving this scholarship would allow me to focus fully on learning, experimentation, and innovation while being part of a community that values applied AI and continuous growth.</t>
  </si>
  <si>
    <t xml:space="preserve">
You should accept me because I bring a combination of technical depth, hands-on experience, and strong commitment to growth. I have over three years of experience working with AI, Machine Learning, and Deep Learning, with solid skills in Python, TensorFlow, PyTorch, and Scikit-learn. My projects, particularly in medical image analysis and intelligent systems, demonstrate my ability to design, train, evaluate, and deploy AI models responsibly and effectively.
In addition to technical skills, I am a disciplined and highly motivated learner who actively seeks feedback, applies best practices, and values collaboration. I approach AI not only as a technical field but as a tool for solving meaningful problems and creating measurable impact. I am confident that I will actively contribute to Aitronix’s learning environment, complete the program with excellence, and use the knowledge gained to build innovative AI solutions aligned with the organization’s vision.</t>
  </si>
  <si>
    <t>Non</t>
  </si>
  <si>
    <t>Mohamed badran</t>
  </si>
  <si>
    <t>01004914060</t>
  </si>
  <si>
    <t xml:space="preserve">Eng.mohamedbadran@gmail.com </t>
  </si>
  <si>
    <t>https://www.linkedin.com/in/muhamedbadran</t>
  </si>
  <si>
    <t>https://drive.google.com/open?id=1jRlQK5gDNuE9J-n1bVGEFKszhq34b1uU</t>
  </si>
  <si>
    <t xml:space="preserve">I am passionate about mastering Artificial Intelligence and Machine Learning, 
and this scholarship represents the ideal platform to systematically advance 
my expertise. With 17+ years of software development experience , I seek to deepen my understanding of foundational 
concepts and advanced applications. This program will enable me to transition 
from practical implementation to comprehensive technical mastery, positioning 
myself to contribute meaningfully to AI education and mentorship </t>
  </si>
  <si>
    <t>You should accept me because:
1. Demonstrated Technical Expertise: I have developed intelligent systems using 
local ML models (Ollama), built advanced automation workflows (n8n), and 
implemented multi-language NLP solutions—proving practical mastery beyond theory.
2. Proven Commitment to Learning: 6 documented certifications in AI/ML (IBM, 
Cognitive Class, LinkedIn Learning 2020-2024) demonstrate genuine passion and 
consistent self-directed growth.
3. Leadership &amp; Mentoring Ability: Leading a team of 4 engineers and training 
them on emerging technologies shows I can leverage the program not just for 
personal advancement but to amplify its impact across my organization.
4. Problem-Solving Under Pressure: 17+ years solving complex technical 
challenges—I am well-prepared for intensive hackathons, collaborative projects, 
and the competitive learning environment.</t>
  </si>
  <si>
    <t>Mathematics, Data Preprocessing, Data Analysis ( using python ), Machine Learning, Deep Learning, NLP &amp; LLMs, Agentic AI</t>
  </si>
  <si>
    <t>I am genuinely enthusiastic about joining this scholarship program. While I  have practical experience in AI implementation, I am committed to achieving  deep academic understanding of machine learning fundamentals, neural networks,  and advanced AI applications.  I particularly look forward to: - Learning from industry experts and understanding global best practices - Competing in the hackathon and applying knowledge to real-world challenges - Networking with AI specialists and expanding my professional connections - Preparing for the employment conference and career opportunities  I commit fully to the program's requirements and will contribute actively to  all learning activities, projects, and collaborative initiatives. My goal is  to emerge not just as a skilled practitioner, but as a knowledgeable educator  who can mentor others in AI technologies.</t>
  </si>
  <si>
    <t>أحمد نبيل جمال محمد</t>
  </si>
  <si>
    <t>01221429228</t>
  </si>
  <si>
    <t>Uwg988@gmail.com</t>
  </si>
  <si>
    <t>AhmedNabilAshry</t>
  </si>
  <si>
    <t>https://drive.google.com/open?id=1z3dVizHSzSnmLf2skNUq-_3CyQEXPcDW</t>
  </si>
  <si>
    <t>انا اريد انت اكون اضافه لمصر في مجال ai and ml</t>
  </si>
  <si>
    <t>سوف اكون اضافه قويه لكم في الروح والاستمراريه واريد ان اكون رمز لمصر</t>
  </si>
  <si>
    <t>GDG Giza</t>
  </si>
  <si>
    <t xml:space="preserve">ان شاء الله خير </t>
  </si>
  <si>
    <t xml:space="preserve">Mohamed Hazem Alsherif </t>
  </si>
  <si>
    <t>01152083555</t>
  </si>
  <si>
    <t>mohamed20031253@gmail.com</t>
  </si>
  <si>
    <t>https://www.linkedin.com/in/mohamed-al-sherif-91a8bb222</t>
  </si>
  <si>
    <t>https://drive.google.com/open?id=1b5Yf_IFf8F-GVQaKWxeVWoYO5tU-Dx3r</t>
  </si>
  <si>
    <t>I am seeking this scholarship to gain valuable practical experience that will strengthen both my technical and professional skills, provide me with the opportunity to deepen my technical knowledge, work collaboratively within diverse teams, and further develop essential soft skills such as communication and problem-solving. This scholarship will help me expand my  background, enhance my expertise, and better prepare me for future challenges in my field of interest.</t>
  </si>
  <si>
    <t>because my goals strongly align with the mission of this scholarship to empower engineers with practical experience in artificial intelligence that makes me to be highly motivated to deepen my AI expertise through hands-on projects while actively collaborating with others to strengthen my communication, teamwork, and problem-solving skills, and With a strong commitment to learning and contributing, I am confident that I will add value to the program while maximizing the opportunity to grow both technically and professionally.</t>
  </si>
  <si>
    <t>From linkedIN</t>
  </si>
  <si>
    <t>NO, Thank you</t>
  </si>
  <si>
    <t>Mahmoud Saeed Shahat</t>
  </si>
  <si>
    <t>01287125358</t>
  </si>
  <si>
    <t>hokahoda989@gmail.com</t>
  </si>
  <si>
    <t>https://www.linkedin.com/in/mahmoud-said-9bb64420a?utm_source=share&amp;utm_campaign=share_via&amp;utm_content=profile&amp;utm_medium=android_app</t>
  </si>
  <si>
    <t>https://drive.google.com/open?id=1iHgeD8dJnZlJbNFhpStSyDmVwgppTRYv</t>
  </si>
  <si>
    <t>I want this scholarship to further develop my skills in Large Language Models and Agentic AI.</t>
  </si>
  <si>
    <t>You should choose me for this scholarship because I have a deep passion for AI, and I’ve been dedicated to studying it for a long time. I’m genuinely enthusiastic about the field and have worked hard to build my skills, making me well-prepared and committed.</t>
  </si>
  <si>
    <t>NAN</t>
  </si>
  <si>
    <t>Ahmed shaaban Allam</t>
  </si>
  <si>
    <t>01122747089</t>
  </si>
  <si>
    <t>shabban811@gmail.com</t>
  </si>
  <si>
    <t>https://www.linkedin.com/in/ahmed-allam-1394b1275?utm_source=share&amp;utm_campaign=share_via&amp;utm_content=profile&amp;utm_medium=android_app</t>
  </si>
  <si>
    <t>https://drive.google.com/open?id=1QZWbzYKfp83kPEMxN8xKpyw1xiPVc2a1</t>
  </si>
  <si>
    <t>I want this scholarship because I’ve reached a point where self-teaching can only take me so far. I have a deep interest in AI and its potential, but I need the structured learning and expert guidance this course provides to truly master the technical side. My goal is to move from just being curious about AI to actually being able to build and apply it effectively. Receiving this scholarship would allow me to focus entirely on gaining these skills and using them to advance my career and contribute to the field.</t>
  </si>
  <si>
    <t>because I am highly motivated and ready to put in the work. I don't just want to learn AI for the sake of knowing it, I want to apply it to real-world challenges.</t>
  </si>
  <si>
    <t>Eng. Ahmed from aitronix</t>
  </si>
  <si>
    <t>nada mostafa</t>
  </si>
  <si>
    <t>01064589328</t>
  </si>
  <si>
    <t>n31190268@gmail.com</t>
  </si>
  <si>
    <t>www.linkedin.com/in/nada-mostafa-al-komi</t>
  </si>
  <si>
    <t>https://drive.google.com/open?id=1Y5h80HDsmIAPcX5ASA4XBfCxr3wu6NIk</t>
  </si>
  <si>
    <t>I want increase my skills in AI</t>
  </si>
  <si>
    <t>seriously I want learn</t>
  </si>
  <si>
    <t>MLOps ( using AWS and/or Huwawie Cloud ), NLP &amp; LLMs, AI Tools, All AI Topics</t>
  </si>
  <si>
    <t>there is not</t>
  </si>
  <si>
    <t>Menna amr</t>
  </si>
  <si>
    <t>01026775792</t>
  </si>
  <si>
    <t>224254@eru.edu.eg</t>
  </si>
  <si>
    <t>https://www.linkedin.com/in/menna-amr-61583b2b6?utm_source=share&amp;utm_campaign=share_via&amp;utm_content=profile&amp;utm_medium=ios_app</t>
  </si>
  <si>
    <t>https://drive.google.com/open?id=1bylBmQsqstz34-Y-M6-iqGG3JZJGgcPn</t>
  </si>
  <si>
    <t xml:space="preserve">I am applying for this scholarship because I am highly motivated to build a strong foundation in Artificial Intelligence and apply it in real-world projects. This scholarship represents a valuable opportunity for me to enhance my technical skills, gain practical experience, and learn from professionals in the field. It will help me bridge the gap between academic knowledge and industry requirements, and move closer to my career goals in AI and data-driven solutions.
</t>
  </si>
  <si>
    <t>You should accept me because I am a committed, hardworking learner with a strong interest in Artificial Intelligence and continuous self-development. I have a solid academic background, relevant training experiences, and the ability to learn quickly and work effectively in a team. I am disciplined, passionate about problem-solving, and ready to fully dedicate my time and effort to benefit from the scholarship and contribute positively to the program.</t>
  </si>
  <si>
    <t xml:space="preserve">From LinkedIn </t>
  </si>
  <si>
    <t>I am highly motivated, flexible with session timings, and fully committed to completing the scholarship requirements and participating actively in all activities</t>
  </si>
  <si>
    <t xml:space="preserve">Menna amr </t>
  </si>
  <si>
    <t>mennaamrr40@gmail.com</t>
  </si>
  <si>
    <t>https://drive.google.com/open?id=1Sp9ZfUnPrLwtsomY80ZYixj2CYHjDMqx</t>
  </si>
  <si>
    <t>Highly motivated and fully committed to the scholarship.</t>
  </si>
  <si>
    <t>Omar suliman mohamed</t>
  </si>
  <si>
    <t>01274995081</t>
  </si>
  <si>
    <t>omarsuliman441@gmail.com</t>
  </si>
  <si>
    <t>https://www.linkedin.com/in/omar-suliman-54057621a?utm_source=share&amp;utm_campaign=share_via&amp;utm_content=profile&amp;utm_medium=android_app</t>
  </si>
  <si>
    <t>https://drive.google.com/open?id=1koq8csweET1sgS_rY2lgaB9VRnV2O_Ws</t>
  </si>
  <si>
    <t>I want this scholarship  to  learn more about the field, develop my skills, and gain practical experience. It will help me grow professionally and build a strong foundation in Artificial Intelligence and Data Science</t>
  </si>
  <si>
    <t xml:space="preserve"> because I am a motivated and eager learner in the field of Artificial Intelligence and Data Science. I am committed to developing my skills, participating actively in the course, and applying what I learn to real projects. I am dedicated, responsible, and ready to make the most out of this opportunity..</t>
  </si>
  <si>
    <t xml:space="preserve">Basmala Azab Mohamed </t>
  </si>
  <si>
    <t>01020053849</t>
  </si>
  <si>
    <t>basmala.azab.mohamed@gmail.com</t>
  </si>
  <si>
    <t>https://www.linkedin.com/in/basmala-azab-931a56314/</t>
  </si>
  <si>
    <t>https://drive.google.com/open?id=1arVIpwLkrr07DoON7r9X1QQTVURtjDvU</t>
  </si>
  <si>
    <t>I want this scholarship because AI is the field I am passionate about and want to pursue professionally. It will help me develop my skills, gain practical experience, and learn from experts, allowing me to build impactful AI solutions .</t>
  </si>
  <si>
    <t xml:space="preserve">You should accept me because I am highly motivated, committed to learning, and genuinely passionate about AI. </t>
  </si>
  <si>
    <t xml:space="preserve">from linked in </t>
  </si>
  <si>
    <t xml:space="preserve">salma saied mahmoud </t>
  </si>
  <si>
    <t>01021374355</t>
  </si>
  <si>
    <t>salmazayed2104@gmail.com</t>
  </si>
  <si>
    <t>https://www.linkedin.com/in/salma-saied-4315a4235/</t>
  </si>
  <si>
    <t>https://drive.google.com/open?id=1xWUnKC0jwKz5DbeGEb3F4qBlhpDzSuDL</t>
  </si>
  <si>
    <t>As a Computer Science graduate specializing in AI and Data Science, I have built a solid foundation in machine learning and data analysis. I am applying for the Aitronix scholarship because it focuses on advanced topics and bridging the gap between academic theory and industry requirements. The collaboration with Huawei and Machinfy is particularly exciting, as it provides access to high-end cloud infrastructure, which is essential for deploying complex AI models at scale. I want to leverage this opportunity to elevate my technical expertise to a professional level.</t>
  </si>
  <si>
    <t>because I possess both the technical background and the commitment to excel in this program. I have successfully completed the Digital Egypt Pioneers Initiative (DEPI), where I developed several 'gigs' including AI chatbots and technical documentation. My proficiency in Python, combined with my experience in building ML models during my studies at Nile University, ensures that I can keep up with the advanced pace of this scholarship. I am a self-driven learner who has already started exploring cybersecurity and MERN stack, proving my ability to master complex technologies quickly.</t>
  </si>
  <si>
    <t>Data Analysis ( using python ), Machine Learning, Deep Learning, MLOps ( using AWS and/or Huwawie Cloud ), NLP &amp; LLMs, Computer Vision, Agentic AI, AI Tools, All AI Topics</t>
  </si>
  <si>
    <t xml:space="preserve">Renad Wael Taha Abdelaal Ali Sabbah </t>
  </si>
  <si>
    <t>RenadSabbah14@gmail.com</t>
  </si>
  <si>
    <t>https://www.linkedin.com/in/renad-wael-taha</t>
  </si>
  <si>
    <t>https://drive.google.com/open?id=1HkcdevzNMNH1rZVXYkIWdJyep6QszaFj</t>
  </si>
  <si>
    <t>I'm really excited about this scholarship especially as I'm entering my final year, I want to make the most of this opportunity to learn more about AI in a practical way, explore new ideas and improve my skills before I graduate .. I feel it will really help me grow and get ready for the future I want in AI</t>
  </si>
  <si>
    <t>Because I'm passionate about AI and excited to learn more especially as I'm entering my final year. I want to use this scholarship to improve my skills, explore new ideas and work on real projects before I graduate.</t>
  </si>
  <si>
    <t>Mathematics, Data Preprocessing, Data Analysis ( using python ), Introduction to Data Engineering ( Theoratical ), Machine Learning, Deep Learning, NLP &amp; LLMs, Computer Vision, Agentic AI, AI Tools, All AI Topics</t>
  </si>
  <si>
    <t xml:space="preserve">. </t>
  </si>
  <si>
    <t xml:space="preserve">خالد الصافي السيد محمد </t>
  </si>
  <si>
    <t>01556542892</t>
  </si>
  <si>
    <t>mrkhalod2005@gmail.com</t>
  </si>
  <si>
    <t>https://www.linkedin.com/in/khaled-elsafy-3a75a0395?utm_source=share&amp;utm_campaign=share_via&amp;utm_content=profile&amp;utm_medium=android_app</t>
  </si>
  <si>
    <t>https://drive.google.com/open?id=1ojyfRNVNlUgNtmqX-wviV6e5YQ7PG04i</t>
  </si>
  <si>
    <t>I want this scholarship because I am passionate about Artificial Intelligence and its potential to solve real-world problems. I have already built a strong foundation in computer science, mathematics, and programming, and I am eager to deepen my knowledge in AI through practical learning and projects.
AITRONIX’s scholarship will give me the opportunity to access advanced resources, mentorship, and a community of like-minded learners, which will accelerate my growth and allow me to contribute meaningfully to AI applications. I am particularly motivated to use AI to create solutions that improve people’s lives, and this scholarship is the ideal stepping stone to achieve that goal.</t>
  </si>
  <si>
    <t>You should accept me because I am really passionate about AI and I want to learn as much as I can in this field. I have already studied computer science, math, and programming, so I have a good foundation, but I want to take it to the next level with practical projects and real experience.
I am a hard worker and I enjoy challenges, and I like learning by doing. I also enjoy sharing ideas and helping others, so I can contribute to the AITRONIX community, not just learn from it. This scholarship will give me the chance to grow, build useful projects, and use AI to make a positive impact.</t>
  </si>
  <si>
    <t xml:space="preserve"> mona gomaa atrise mohamed </t>
  </si>
  <si>
    <t>01011604666</t>
  </si>
  <si>
    <t>monagomaa206@gmail.com</t>
  </si>
  <si>
    <t>www.linkedin.com/in/mona-gomaa-0061771b8</t>
  </si>
  <si>
    <t>https://drive.google.com/open?id=1x4Oq_9ZKCzEdER-cqyhc42XDfAiWXMQK</t>
  </si>
  <si>
    <t xml:space="preserve">
I want this scholarship because it will give me a chance to learn more, grow, and explore new opportunities. It will help me develop my skills, meet inspiring people, and make a real difference in my career and community.Most importantly, I want to take what I learn and share it with students, creating high-quality content that can help them understand and enjoy this field. I see this scholarship as a stepping stone to reach my goals and make a meaningful impact.</t>
  </si>
  <si>
    <t xml:space="preserve">
I think I would be a good fit because I am curious, hardworking, and always eager to learn. Currently, I am pursuing a Master’s in Data Science, and I have practical experience from my internships in AI, machine learning, and business analysis. I love solving problems and taking on challenges</t>
  </si>
  <si>
    <t xml:space="preserve"> linkedin</t>
  </si>
  <si>
    <t xml:space="preserve">Abdelrahman Mohammed Abdelalem Elsayed </t>
  </si>
  <si>
    <t>01014836226</t>
  </si>
  <si>
    <t>roma47757@gmail.com</t>
  </si>
  <si>
    <t>https://www.linkedin.com/in/abdul-rahman-abdelalem-a70230372</t>
  </si>
  <si>
    <t>https://drive.google.com/open?id=1cRiHsfe9W4wbKVtWsnkIqnpG938Jo09s</t>
  </si>
  <si>
    <t>I want to gain some experience ,do new projects and get to know some new connections.</t>
  </si>
  <si>
    <t>I used to this type of scholarships and I have some prior knowledge in the field.
I don't like to miss the deadlines.</t>
  </si>
  <si>
    <t>I hope this won't be like any other internship I'm here for the content not the certificate+ I hope we will be a nice family ❤️</t>
  </si>
  <si>
    <t>Mohamed Walid Abdelnaby Abdelmaqsood</t>
  </si>
  <si>
    <t>01550927716</t>
  </si>
  <si>
    <t>mohamedwalidhegab12@gmail.com</t>
  </si>
  <si>
    <t>https://www.linkedin.com/in/mohamed-walid-960258357?utm_source=share&amp;utm_campaign=share_via&amp;utm_content=profile&amp;utm_medium=android_app</t>
  </si>
  <si>
    <t>https://drive.google.com/open?id=1dzEts3ZYA57zxT1m8cLplEU4WwdSWzU6</t>
  </si>
  <si>
    <t>I want this scholarship because I know that Engineer Ahmed Hafez will provide me with many skills and I will benefit greatly from his experience.</t>
  </si>
  <si>
    <t>You should accept me because I am a dedicated Computer Science student with a strong passion for data and technology. I have a solid foundation in programming and problem solving, and I am continuously working on improving my technical and analytical skills. This scholarship would help me grow faster, apply what I learn in real projects, and contribute positively to the learning community.</t>
  </si>
  <si>
    <t>Engineer Ahmed Hafez gave us a lecture at Career Center, and I also follow him on social media platforms.</t>
  </si>
  <si>
    <t>Data Analysis ( using python ), Machine Learning, Deep Learning, NLP &amp; LLMs, Computer Vision, All AI Topics</t>
  </si>
  <si>
    <t xml:space="preserve">I hope to be with you </t>
  </si>
  <si>
    <t xml:space="preserve">Omnia Mohamed elsayed awad liela </t>
  </si>
  <si>
    <t>01000519975</t>
  </si>
  <si>
    <t>omnialila15@gmail.com</t>
  </si>
  <si>
    <t>https://www.linkedin.com/in/omnia-liela-00348336b</t>
  </si>
  <si>
    <t>https://drive.google.com/open?id=1EdB11Nv6vxnjJL3NRL2nIL2-z4I57Rxa</t>
  </si>
  <si>
    <t xml:space="preserve">I see it as a powerful grant that will help me delve deeper into the field. More artificial intelligence and to reach a high level </t>
  </si>
  <si>
    <t xml:space="preserve">I'm a student in the Faculty of Artificial Intelligence and I'll be specializing in M I'm interested in artificial intelligence and I want to excel in it, and I need a scholarship to help me enter this field. </t>
  </si>
  <si>
    <t>Machine Learning, Deep Learning, NLP &amp; LLMs, Computer Vision, All AI Topics</t>
  </si>
  <si>
    <t>نو</t>
  </si>
  <si>
    <t xml:space="preserve">آلاء حامد يوسف الدوانسي </t>
  </si>
  <si>
    <t>01062903294</t>
  </si>
  <si>
    <t>alaa.hamed2216@gmail.com</t>
  </si>
  <si>
    <t>https://www.linkedin.com/in/alaa-eldwansy-71aa9a356?utm_source=share&amp;utm_campaign=share_via&amp;utm_content=profile&amp;utm_medium=ios_app</t>
  </si>
  <si>
    <t>https://drive.google.com/open?id=101n71PQfEMmSt1mGVN_MQkMr8lsrcCIe</t>
  </si>
  <si>
    <t>to gain practical experience and apply AI to real-world problems</t>
  </si>
  <si>
    <t>because I’m serious about learning AI, I work hard, and I’m always eager to improve myself</t>
  </si>
  <si>
    <t>Data Preprocessing, Data Analysis ( using python ), Machine Learning, Deep Learning, NLP &amp; LLMs, Computer Vision</t>
  </si>
  <si>
    <t xml:space="preserve">Mahmoud Mohamed Mahmoud Elsayed </t>
  </si>
  <si>
    <t>01200065888</t>
  </si>
  <si>
    <t>mahmoudalashry1@outlook.com</t>
  </si>
  <si>
    <t>https://www.linkedin.com/in/mahmoud-al-ashry</t>
  </si>
  <si>
    <t>https://drive.google.com/open?id=1k35AVGSB4BV1WakSkhUGO-86aBn6tz7t</t>
  </si>
  <si>
    <t>I’m excited about this scholarship because it will give me the chance to really learn and apply AI in meaningful ways. It’s an opportunity to grow my skills and make an impact in the field I’m passionate about.</t>
  </si>
  <si>
    <t>You should accept me because I’m eager to learn, passionate about AI, and committed to applying what I learn to solve real problems. I bring curiosity, dedication, and a drive to make a meaningful impact.</t>
  </si>
  <si>
    <t>Husam Ahmed Hussien</t>
  </si>
  <si>
    <t>01069906998</t>
  </si>
  <si>
    <t>husam.a.elsalamy@gmail.com</t>
  </si>
  <si>
    <t>https://www.linkedin.com/in/husam-ahmed-b45714290/</t>
  </si>
  <si>
    <t>https://drive.google.com/open?id=14uQ3e6Acrh1kwRxvGL-e5vL1P1UQNrO_</t>
  </si>
  <si>
    <t>To turn my passion for artificial intelligence into a career, and this scholarship is the perfect opportunity to acquire the necessary skills without financial constraints.</t>
  </si>
  <si>
    <t>Because I am a fast and fully committed self-learner, and I am motivated not only to learn but also to actively participate and contribute to the success of the program.</t>
  </si>
  <si>
    <t>ENG Ahmed Hafez</t>
  </si>
  <si>
    <t>Thx</t>
  </si>
  <si>
    <t>Esmael Saleh</t>
  </si>
  <si>
    <t>01205519054</t>
  </si>
  <si>
    <t>esmaelsaleh61@gmail.com</t>
  </si>
  <si>
    <t>https://www.linkedin.com/in/esmael-saleh/</t>
  </si>
  <si>
    <t>https://drive.google.com/open?id=1lU8VY_bu0834AWVZZzWcqZwPztDSbVfx</t>
  </si>
  <si>
    <t>I need to improve my AI skills and find a good job opportunity</t>
  </si>
  <si>
    <t>I work hard to get a good job and I have a great passion for AI</t>
  </si>
  <si>
    <t>Deep Learning, MLOps ( using AWS and/or Huwawie Cloud ), NLP &amp; LLMs, Computer Vision, Agentic AI</t>
  </si>
  <si>
    <t>Menna Mostafa Elsayed</t>
  </si>
  <si>
    <t>01224321143</t>
  </si>
  <si>
    <t>manon.mustafa.325@gmail.com</t>
  </si>
  <si>
    <t>https://www.linkedin.com/in/menna-elsayed-859b7628a?utm_source=share_via&amp;utm_content=profile&amp;utm_medium=member_android</t>
  </si>
  <si>
    <t>https://drive.google.com/open?id=1JcsuNK6yqy-cG1hjI085UpbP_l-cXPDu</t>
  </si>
  <si>
    <t>I am on my senior year and want to cope with the market needs I want to improve my skills at AI to be ready to work on a real life projects for corperates or a business needs also need to solve complex data problems.</t>
  </si>
  <si>
    <t>I asked to join after I completely confirmed that I know concepts that I would apply with you also I have applied projects with complex datasets and tried to work with teams and on real world projects you can check my CV.</t>
  </si>
  <si>
    <t>MLOps ( using AWS and/or Huwawie Cloud ), NLP &amp; LLMs, Agentic AI, All AI Topics</t>
  </si>
  <si>
    <t>No, thank you.</t>
  </si>
  <si>
    <t>https://drive.google.com/open?id=1cnMObn1PaDNfzZwLb7CaJlqgKrOT7Zzw</t>
  </si>
  <si>
    <t>Because I want to gain knowledge and experience to be AI Engineer</t>
  </si>
  <si>
    <t>Because I hard worker with comitment for my tasks and I want to make change in my life</t>
  </si>
  <si>
    <t xml:space="preserve">Abdallah Tarek </t>
  </si>
  <si>
    <t>01062549084</t>
  </si>
  <si>
    <t>abdallah6.tarek6555@gmail.com</t>
  </si>
  <si>
    <t>www.linkedin.com/in/abdallah-tarek20</t>
  </si>
  <si>
    <t>https://drive.google.com/open?id=1OWBMvtjr1p3OaWFvf5_U6B3CzuqqFhx_</t>
  </si>
  <si>
    <t>I want to enhance my knowledge in AI and explore more technologies.</t>
  </si>
  <si>
    <t>I plan to attend all sessions without missing any, as they are important for my career.</t>
  </si>
  <si>
    <t xml:space="preserve">Mariem mohamed Ibrahim </t>
  </si>
  <si>
    <t>01091680860</t>
  </si>
  <si>
    <t>maryemmohamed047@gmail.com</t>
  </si>
  <si>
    <t>https://www.linkedin.com/in/mariem-mohamed-336267342?utm_source=share&amp;utm_campaign=share_via&amp;utm_content=profile&amp;utm_medium=ios_app</t>
  </si>
  <si>
    <t>https://drive.google.com/open?id=1zT0rWHZS-b1S5JFmwBIS6-oQWDjR4ZUZ</t>
  </si>
  <si>
    <t>I am applying for this AI Scholarship because I am deeply interested in artificial intelligence and its real-world applications, especially in solving practical problems and supporting decision-making.
I come from a data science background, and I see AI as a powerful tool that can transform industries and improve people’s lives. This scholarship would give me the technical depth, mentorship, and structured learning I need to strengthen my skills and move from theory to real implementation.
More importantly, I aim to use the knowledge I gain to build impactful projects and contribute to my community by sharing what I learn and applying AI in meaningful ways. I see this scholarship as a crucial step toward my long-term goal of becoming an AI professional who creates solutions with real social and business value.</t>
  </si>
  <si>
    <t xml:space="preserve">You should accept me because I am highly motivated, disciplined, and genuinely committed to learning and applying AI. I have a strong foundation in data science and experience working on real projects, which allows me to quickly understand concepts and turn them into practical solutions.
I am not only focused on personal growth, but also on contributing to the learning community by sharing knowledge, collaborating with others, and building impactful projects. I take responsibility seriously, manage my time well, and I am fully committed to completing the scholarship requirements and making the most out of this opportunity.
</t>
  </si>
  <si>
    <t>I learned about this scholarship through LinkedIn.</t>
  </si>
  <si>
    <t>I would like to add that I am fully committed to this scholarship and highly motivated to make the most out of this opportunity. I am eager to learn, collaborate, and contribute positively to the program.</t>
  </si>
  <si>
    <t>Mahmoud</t>
  </si>
  <si>
    <t>01025364905</t>
  </si>
  <si>
    <t>elbahlolx@gmail.com</t>
  </si>
  <si>
    <t>https://www.linkedin.com/in/mahmoud-elbahloul-858429368?utm_source=share&amp;utm_campaign=share_via&amp;utm_content=profile&amp;utm_medium=ios_app</t>
  </si>
  <si>
    <t>https://drive.google.com/open?id=1kqa2RzIMZnbvblHkHIN5g0SgdGGWA2dM</t>
  </si>
  <si>
    <t>To enter the field of artificial intelligence, develop my information about it, create real projects and prepare myself for the labor market</t>
  </si>
  <si>
    <t>I am a graduate of the Mechatronics Department and I have a background in artificial intelligence and learning the machine and always on my way to develop myself in this field.</t>
  </si>
  <si>
    <t>in</t>
  </si>
  <si>
    <t>Python Basics, Mathematics, Data Analysis ( using python ), Machine Learning, Deep Learning, MLOps ( using AWS and/or Huwawie Cloud ), NLP &amp; LLMs, Computer Vision, Agentic AI, AI Tools</t>
  </si>
  <si>
    <t xml:space="preserve">Mohamed Abdel Tawwab Badr </t>
  </si>
  <si>
    <t>01151658683</t>
  </si>
  <si>
    <t>moabood.123.123@gmail.com</t>
  </si>
  <si>
    <t>https://www.linkedin.com/in/mohamed-abdeltawwab-badr-b4a18426b?utm_source=share&amp;utm_campaign=share_via&amp;utm_content=profile&amp;utm_medium=ios_app</t>
  </si>
  <si>
    <t>https://drive.google.com/open?id=1ezNTLIN4JXHu_E46TRztLoBOqhuRAmJx</t>
  </si>
  <si>
    <t xml:space="preserve">To developing myself ,and work after this internship </t>
  </si>
  <si>
    <t xml:space="preserve">I’m strong skills in python,machine learning,data analysis tools,data Science </t>
  </si>
  <si>
    <t>Python Basics, Mathematics, Data Preprocessing, Data Analysis ( using python ), Introduction to Data Engineering ( Theoratical ), Machine Learning, MLOps ( using AWS and/or Huwawie Cloud ), AI Tools</t>
  </si>
  <si>
    <t xml:space="preserve">ziad youssef mohammed </t>
  </si>
  <si>
    <t>01101915738</t>
  </si>
  <si>
    <t>zizog926@gmail.com</t>
  </si>
  <si>
    <t xml:space="preserve">https://www.linkedin.com/in/ziad-youssef-194744389?utm_source=share&amp;utm_campaign=share_via&amp;utm_content=profile&amp;utm_medium=android_app </t>
  </si>
  <si>
    <t>https://drive.google.com/open?id=1387X2vIAZHBNC7CU4VsehjXPEx10kMh2</t>
  </si>
  <si>
    <t>عشان عايز ابنى ستارتب ب ai</t>
  </si>
  <si>
    <t>نا عايز اساعد مجال الطب ان يشتغل ب Ai بدون اى اخطاء</t>
  </si>
  <si>
    <t>Machine Learning, MLOps ( using AWS and/or Huwawie Cloud ), All AI Topics</t>
  </si>
  <si>
    <t xml:space="preserve">شكرا جداً </t>
  </si>
  <si>
    <t xml:space="preserve">Ahmed Aboalyaized saad Elgohary </t>
  </si>
  <si>
    <t>01009515837</t>
  </si>
  <si>
    <t>a7medelgo7ry@gmail.com</t>
  </si>
  <si>
    <t>https://www.linkedin.com/in/a7med-elgo7ary</t>
  </si>
  <si>
    <t>https://drive.google.com/open?id=1ZuHdgoBSiVTTKkWBAnyeNuazCGW2TyDM</t>
  </si>
  <si>
    <t>I want this scholarship because it represents an opportunity to focus fully on my academic and professional development without financial limitations. My passion for Artificial Intelligence and technology drives me to continuously learn, research, and build real-world projects. This scholarship would enable me to access advanced learning resources, certifications, and practical experiences that will help me transform knowledge into impactful solutions. More importantly, it would motivate me to give back by using my skills to contribute to technological innovation and community development</t>
  </si>
  <si>
    <t>You should accept me because I am highly motivated, disciplined, and committed to excellence. I have a strong academic background in Computer Science and hands-on experience in machine learning, data science, and AI projects. I am not only focused on learning but on applying knowledge to solve real problems. I consistently take initiative, work well under pressure, and lead by example. With this scholarship, I will maximize every opportunity it offers and represent the program with dedication, integrity, and measurable impact.</t>
  </si>
  <si>
    <t>Tassnem Mohamed</t>
  </si>
  <si>
    <t>01050329558</t>
  </si>
  <si>
    <t>tassnemmohamed63@gmail.com</t>
  </si>
  <si>
    <t>https://www.linkedin.com/in/tassnem-mohamed-309aaa325?utm_source=share&amp;utm_campaign=share_via&amp;utm_content=profile&amp;utm_medium=ios_app</t>
  </si>
  <si>
    <t>https://drive.google.com/open?id=16c93lJso8UYSWJ5lFaUvD4pFizU-A_ek</t>
  </si>
  <si>
    <t>I want this scholarship to deepen my knowledge and practical experience in Artificial Intelligence.</t>
  </si>
  <si>
    <t>You should accept me because I have strong hands-on, practical experience in Artificial Intelligence and Machine Learning gained through real projects, professional trainings, and internships. I have worked on building and training AI models, data preprocessing, and performance evaluation, in addition to developing AI-based systems such as a video analysis graduation project. I am highly motivated, fast learner, and committed to applying my skills in real-world applications, teamwork, and problem-solving environments.</t>
  </si>
  <si>
    <t>linked in post</t>
  </si>
  <si>
    <t>Machine Learning, Deep Learning, MLOps ( using AWS and/or Huwawie Cloud ), NLP &amp; LLMs, Agentic AI, AI Tools</t>
  </si>
  <si>
    <t>AL Moatasem Bellah Osama</t>
  </si>
  <si>
    <t>+201156554473</t>
  </si>
  <si>
    <t>moatasemosama18@gmail.com</t>
  </si>
  <si>
    <t>https://www.linkedin.com/in/al-moatasem-bellah-osama2/</t>
  </si>
  <si>
    <t>https://drive.google.com/open?id=1NygKn6reQKufYGflRmoziFSj0d59_vkj</t>
  </si>
  <si>
    <t>To dive into AI World</t>
  </si>
  <si>
    <t>I've learned ai basics ,</t>
  </si>
  <si>
    <t>At Linkedin</t>
  </si>
  <si>
    <t>Thankyou</t>
  </si>
  <si>
    <t>Ibrahim Abdelnasar Yakout</t>
  </si>
  <si>
    <t>+201113416111</t>
  </si>
  <si>
    <t>ibrahimnasar400@gmail.com</t>
  </si>
  <si>
    <t>https://www.linkedin.com/in/ibrahim-abdelnasar?utm_source=share&amp;utm_campaign=share_via&amp;utm_content=profile&amp;utm_medium=ios_app</t>
  </si>
  <si>
    <t>https://drive.google.com/open?id=1PerWfVKtqTtFZHw-8Seq-UyJ8GqzHLn0</t>
  </si>
  <si>
    <t>I am seeking this scholarship to deepen my practical and theoretical understanding of artificial intelligence and apply it to real-world healthcare and research challenges. With a background in Clinical Pharmacy, clinical research, and data science, I see AI as a powerful tool to improve evidence generation, data-driven decision-making, and patient outcomes. This scholarship would allow me to strengthen my technical skills, bridge the gap between health and AI, and contribute meaningfully to interdisciplinary projects that create measurable impact.</t>
  </si>
  <si>
    <t xml:space="preserve">I bring a unique combination of healthcare, research, and data science experience that aligns strongly with the goals of this scholarship. I have hands-on experience in clinical trials, systematic reviews, and real-world clinical data analysis, along with formal training in data science and AI-related tools. I have demonstrated leadership through mentoring interns, managing onboarding for new team members, and delivering high-quality work recognized by awards. I am highly motivated, disciplined, and committed to applying AI responsibly to solve complex problems, and I would actively contribute to the scholarship community through collaboration, knowledge sharing, and impactful projects.
</t>
  </si>
  <si>
    <t>Samar SalahElDin Ghoneim</t>
  </si>
  <si>
    <t>01140037442</t>
  </si>
  <si>
    <t>Samarghonaim27@gmail.com</t>
  </si>
  <si>
    <t>https://www.linkedin.com/in/samar-ghoneim-b27b68206</t>
  </si>
  <si>
    <t>https://drive.google.com/open?id=1PxXNZrNoS7GJUBTda4dGYBDUN5FA0weU</t>
  </si>
  <si>
    <t xml:space="preserve">To gain practical work experience and real-world experience and projects. In addition to take part in the hackathon and find industry jobs afterwards. </t>
  </si>
  <si>
    <t xml:space="preserve">I have basic knowledge in the field and have academic experience in it as well and would like to expand my knowledge through this scholarship. </t>
  </si>
  <si>
    <t xml:space="preserve">Yussef Zakaria Elkholy </t>
  </si>
  <si>
    <t>01117060839</t>
  </si>
  <si>
    <t>yussefzakaaria@gmail.com</t>
  </si>
  <si>
    <t>https://www.linkedin.com/in/yussef-elkholy-a08331235?utm_source=share&amp;utm_campaign=share_via&amp;utm_content=profile&amp;utm_medium=android_app</t>
  </si>
  <si>
    <t>https://drive.google.com/open?id=14c6r-dVdN9h4IA-CAgU0c2np3UQHRFDm</t>
  </si>
  <si>
    <t>I am applying for this scholarship because I strongly believe in the power of education to change lives — not only on a personal level, but also within the community. This opportunity would help me continue my academic journey without financial pressure, allowing me to focus more on learning, developing my skills, and achieving excellence in my field</t>
  </si>
  <si>
    <t>I believe I am a strong candidate for this scholarship because I am hardworking, committed, and always eager to improve myself. Throughout my academic journey, I have shown dedication to my studies and a genuine desire to learn beyond the classroom.</t>
  </si>
  <si>
    <t>I heard about this scholarship through social media and online educational communities</t>
  </si>
  <si>
    <t>Data Analysis ( using python ), Machine Learning</t>
  </si>
  <si>
    <t xml:space="preserve">.. </t>
  </si>
  <si>
    <t xml:space="preserve">Nora khaled hassan </t>
  </si>
  <si>
    <t>01120004456</t>
  </si>
  <si>
    <t>Norakhaledhassan22@gmail.com</t>
  </si>
  <si>
    <t>https://www.linkedin.com/in/nora-khaled-hassan?utm_source=share&amp;utm_campaign=share_via&amp;utm_content=profile&amp;utm_medium=android_app</t>
  </si>
  <si>
    <t>https://drive.google.com/open?id=1u03MwSvjOSCIFNXvQ_qxxV7pFfUUneAR</t>
  </si>
  <si>
    <t>I want this scholarship because I am very interested in Artificial Intelligence and I want to build strong practical skills in this field. This scholarship will help me learn AI in a clear and structured way, work on real projects, and prepare myself for the job market.</t>
  </si>
  <si>
    <t>You should accept me because I am motivated, committed to learning, and willing to put in the effort required. I always try to improve myself, learn continuously, and make the best use of any opportunity. I am also interested in teamwork and applying what I learn in real-life projects.</t>
  </si>
  <si>
    <t>I heard about this scholarship through social media and online communities interested in technology and Artificial Intelligence.</t>
  </si>
  <si>
    <t>basma alaa mohamed</t>
  </si>
  <si>
    <t>01121369943</t>
  </si>
  <si>
    <t>ba2096479@gmail.com</t>
  </si>
  <si>
    <t>https://www.linkedin.com/in/basma-alaa-4327a9264?utm_source=share&amp;utm_campaign=share_via&amp;utm_content=profile&amp;utm_medium=android_app</t>
  </si>
  <si>
    <t>https://drive.google.com/open?id=10NSwkp9pM5k3UZIwYsqmHxX4aA-6rv60</t>
  </si>
  <si>
    <t>I want this scholarship because it provides a structured and practical path to learn artificial intelligence in depth. It will help me strengthen my technical skills, apply what I learn through real projects and hackathons, and prepare me for the job market. This opportunity aligns perfectly with my career goals, especially with the employment conference and industry exposure at the end of the scholarship.</t>
  </si>
  <si>
    <t>You should accept me because I am highly motivated, committed to learning, and genuinely interested in artificial intelligence. I am willing to put in the effort required to grow my skills, participate actively in projects and hackathons, and make the most of this opportunity. I believe I can both benefit from the scholarship and add value through my dedication and continuous improvement.</t>
  </si>
  <si>
    <t>Python Basics, Data Preprocessing, Data Analysis ( using python ), Introduction to Data Engineering ( Theoratical ), Machine Learning, Deep Learning, MLOps ( using AWS and/or Huwawie Cloud ), AI Tools, All AI Topics</t>
  </si>
  <si>
    <t>.....</t>
  </si>
  <si>
    <t>Aly mohamed abd elatty</t>
  </si>
  <si>
    <t>01011474911</t>
  </si>
  <si>
    <t>alymohamed7794@gmail.com</t>
  </si>
  <si>
    <t>Ali M.Abdelatty</t>
  </si>
  <si>
    <t>https://drive.google.com/open?id=1GE_t74zWJHGQ1lvOTG0fHOEhCOwzVxhc</t>
  </si>
  <si>
    <t>To improve my skills</t>
  </si>
  <si>
    <t xml:space="preserve">Because I am eager to learn in this field </t>
  </si>
  <si>
    <t xml:space="preserve">Post in Facebook </t>
  </si>
  <si>
    <t xml:space="preserve">Thanks for the opportunity </t>
  </si>
  <si>
    <t>هدير محمد شحاتة محمد</t>
  </si>
  <si>
    <t>01128112394</t>
  </si>
  <si>
    <t>hy0112811@gmail.com</t>
  </si>
  <si>
    <t>https://www.linkedin.com/in/hader-mohamed-7963102b6?utm_source=share&amp;utm_campaign=share_via&amp;utm_content=profile&amp;utm_medium=android_app</t>
  </si>
  <si>
    <t>https://drive.google.com/open?id=1z9wSB4jJYVWJoTJ8tTAXNIihu2lNitvH</t>
  </si>
  <si>
    <t>لتعزيز قدراتي ولان الai المستقبل القادم وتسهيلو ف مشاريعنا واختصار للوقت ولرؤية اوضح</t>
  </si>
  <si>
    <t>لاني شغوف ولدي معرفة سابقة عن الai واستخدمو ف مشاريعي الخاصة او الجامعة</t>
  </si>
  <si>
    <t>فيس بوك</t>
  </si>
  <si>
    <t>no comments</t>
  </si>
  <si>
    <t xml:space="preserve"> Menaz Salah Ahmed Morsy</t>
  </si>
  <si>
    <t>01030801646</t>
  </si>
  <si>
    <t>menazsalah3@gmail.com</t>
  </si>
  <si>
    <t>https://www.linkedin.com/in/menaz-salah-ab9b64316?utm_source=share&amp;utm_campaign=share_via&amp;utm_content=profile&amp;utm_medium=android_app</t>
  </si>
  <si>
    <t>https://drive.google.com/open?id=1kFeRxaL_3m2Uo1M4hjR2jQAJUeREonpM</t>
  </si>
  <si>
    <t>I am applying for this scholarship because it will give me the opportunity to focus on my academic and professional development without financial pressure</t>
  </si>
  <si>
    <t>I am a motivated and disciplined student with strong academic performance and a clear goal in the field of technology and data-driven solutions.</t>
  </si>
  <si>
    <t>From linkedin</t>
  </si>
  <si>
    <t>Data Analysis ( using python ), Machine Learning, AI Tools</t>
  </si>
  <si>
    <t>….</t>
  </si>
  <si>
    <t xml:space="preserve">Mohamed Tarek awwad </t>
  </si>
  <si>
    <t>01028629214</t>
  </si>
  <si>
    <t>ai.mohammed.awad04@gmail.com</t>
  </si>
  <si>
    <t>https://www.linkedin.com/in/mohamed-awad-eru?utm_source=share&amp;utm_campaign=share_via&amp;utm_content=profile&amp;utm_medium=android_app</t>
  </si>
  <si>
    <t>https://drive.google.com/open?id=1eL2LoyM9nSZhrmB6HkbLUBpXCggV0oIa</t>
  </si>
  <si>
    <t xml:space="preserve">To develop my skills </t>
  </si>
  <si>
    <t xml:space="preserve">انا مشترك فى كورس aitronix المستوى الاول وعايز اكمل مستوى متقدم </t>
  </si>
  <si>
    <t xml:space="preserve">عمر حسين فؤاد حسين </t>
  </si>
  <si>
    <t>01143912497</t>
  </si>
  <si>
    <t>omarh353111@gmail.com</t>
  </si>
  <si>
    <t>الله يسلمك يحبيبي</t>
  </si>
  <si>
    <t>https://drive.google.com/open?id=1_Os0Saw6tiZZInQdZ9omnqRvQTP6xHKv</t>
  </si>
  <si>
    <t>To learn more advanced about ai and gen ai</t>
  </si>
  <si>
    <t>I complete ai diploma at aitronix and i have experience in ai field</t>
  </si>
  <si>
    <t xml:space="preserve">yousef mohammed abdelkareem </t>
  </si>
  <si>
    <t>01123277241</t>
  </si>
  <si>
    <t>Yousef.Ibrahim.2230238@CIT.hnu.edu.eg</t>
  </si>
  <si>
    <t>www.linkedin.com/in/joox</t>
  </si>
  <si>
    <t>https://drive.google.com/open?id=1wcTL2iRTbBueV_EM_5vQTjdXW0Z1gMAW</t>
  </si>
  <si>
    <t xml:space="preserve">I am deeply passionate about artificial intelligence and its transformative potential to solve real-world problems. As a Computer Science student at Helwan University with hands-on experience in IoT and AI development at VoltX, I have already built a strong foundation in machine learning, deep learning, and neural networks. However, I recognize that the AI field is rapidly evolving, and this scholarship represents a unique opportunity to gain comprehensive, structured knowledge across the entire AI ecosystem.
What excites me most about this program is its holistic approach covering the complete AI development pipeline—from data preprocessing and analysis to cutting-edge topics like Agentic AI, LLMs, and MLOps. I have already worked with neural networks, computer vision (YOLOv11 for gas cylinder detection), NLP (Arabic-to-English translation using transformers), and machine learning clustering algorithms. This scholarship will help me elevate these skills from project-level implementations to production-ready, industry-standard solutions.
The MLOps component using AWS and Huawei Cloud is particularly valuable to me. While I can build models, I need to learn how to deploy, monitor, and maintain them at scale—skills that are critical for real-world AI applications. Additionally, the hackathon with 20,000 EGP in prizes and the career fair align perfectly with my goals of applying AI skills competitively and connecting with potential employers in Egypt's growing tech ecosystem.
</t>
  </si>
  <si>
    <t xml:space="preserve">
I bring a strong technical foundation in AI and machine learning, supported by real-world project experience. I have built neural machine translation systems using Seq2Seq with attention and transformers, developed computer vision applications using YOLOv11, and implemented clustering-based customer segmentation. I work with TensorFlow and Scikit-learn, and have hands-on experience in deep learning, NLP, and computer vision, allowing me to quickly grasp advanced concepts and contribute effectively from day one.
Beyond theory, I have deployed real AI and IoT solutions. At VoltX, I developed and deployed ESP32-based systems using FreeRTOS, integrated sensors, and applied AI/ML models for data analysis and predictive applications while collaborating with cross-functional teams. My projects, including industrial safety and smart systems, reflect my ability to apply AI to solve practical, impactful problems.
With strong versatility across programming, embedded systems, and AI pipelines, along with consistent academic performance at Helwan University, I am highly motivated, career-ready, and committed to excellence. Accepting me means investing in a driven candidate who will fully leverage this scholarship, contribute actively to the learning environment, and deliver tangible impact within Egypt’s growing AI ecosystem.</t>
  </si>
  <si>
    <t xml:space="preserve">from linked in Aitronix   </t>
  </si>
  <si>
    <t>I am particularly interested in MLOps, Agentic AI, and advanced NLP/LLMs as these represent the cutting edge of AI development. I have hands-on experience with neural networks, computer vision (YOLOv11), NLP (transformers for translation), and embedded AI systems through my work at VoltX. I selected advanced topics because I already have foundation in Python and basic ML, but I am eager to learn production deployment practices, master state-of-the-art architectures, and contribute actively to the hackathon. I am committed to being among the top performers and earning the fee refund through excellence.</t>
  </si>
  <si>
    <t xml:space="preserve">Mohamed Ayman Hassan </t>
  </si>
  <si>
    <t>01096148472</t>
  </si>
  <si>
    <t>mohamedawaad290@gmail.com</t>
  </si>
  <si>
    <t>https://www.linkedin.com/in/mohamed-ayman-2b701320a</t>
  </si>
  <si>
    <t>https://drive.google.com/open?id=14G7SidSc-ChFhwyP9_I62OPVkZXTX5hJ</t>
  </si>
  <si>
    <t>To learn about Ai and Machine Learning.</t>
  </si>
  <si>
    <t xml:space="preserve">From Whatsapp </t>
  </si>
  <si>
    <t xml:space="preserve">Sahar Amr Elmadawey </t>
  </si>
  <si>
    <t>Saharamrahmed@gmail.com</t>
  </si>
  <si>
    <t>http://linkedin.com/in/sahar-amr-6a3073227</t>
  </si>
  <si>
    <t>https://drive.google.com/open?id=1EbJvlpSPEwNSwgdLPxH5kkn2CDjrZZ2P</t>
  </si>
  <si>
    <t xml:space="preserve">To upgrade my skills, make new connections, work on real projects </t>
  </si>
  <si>
    <t xml:space="preserve">I’m a hard worker person, I got the third rank in my class , I love to gain real experience in field, also I love searching and applying for real opportunities </t>
  </si>
  <si>
    <t xml:space="preserve">LinkedIn and a friend recommendation </t>
  </si>
  <si>
    <t>Mathematics, Data Analysis ( using python ), Introduction to Data Engineering ( Theoratical ), Deep Learning, MLOps ( using AWS and/or Huwawie Cloud ), Agentic AI, All AI Topics</t>
  </si>
  <si>
    <t>Dina Ahmed El Sayed Fathy</t>
  </si>
  <si>
    <t>01093863277</t>
  </si>
  <si>
    <t>dinaahmed25x@gmail.com</t>
  </si>
  <si>
    <t>https://www.linkedin.com/in/dina-ahmed-21675b134?utm_source=share&amp;utm_campaign=share_via&amp;utm_content=profile&amp;utm_medium=ios_app</t>
  </si>
  <si>
    <t>https://drive.google.com/open?id=15St5z-pCbm4kOFqC4eqfGO6Di5LWqwr1</t>
  </si>
  <si>
    <t>To get more experience in Ai</t>
  </si>
  <si>
    <t>You should accept me because I actually care about the work. I’m curious by nature ,I don’t just run code and move on. I ask why this model works, why that one fails, and how to make it better. I take pride in doing things the right way, not the lazy way.
I’ve put in the time to learn the basics properly, and I keep learning because AI changes fast. When I don’t know something, I’m honest about it—and then I go figure it out. You won’t need to chase me or explain things twice.
I’m reliable. If I say I’ll deliver, I deliver. If there’s a problem, you’ll hear it early, not at the deadline. I work well alone, and I’m easy to work with in a team. No ego, no drama—just focus.
Most importantly, I want to build things that actually work and actually matter. I’m not here for a title. I’m here to grow, contribute, and do solid work you can trust.</t>
  </si>
  <si>
    <t>Please text me on whats app on 01093863277</t>
  </si>
  <si>
    <t>rahma hassaan abdelkader</t>
  </si>
  <si>
    <t xml:space="preserve">rahmahassaan75@gmail.com </t>
  </si>
  <si>
    <t>https://drive.google.com/open?id=1yXMtcYRi22wrJeRXQS268BxCRuDZwabE</t>
  </si>
  <si>
    <t>I want this scholarship to become a skilled AI and Machine Learning engineer, gain hands-on experience with real projects, and learn from industry professionals to prepare for global career opportunities in AI.</t>
  </si>
  <si>
    <t>You should accept me because I am a motivated Computer Science student in the third year with a strong interest in Artificial Intelligence and Machine Learning. I have built solid foundations in Python and ML concepts, and I am continuously working on practical projects to strengthen my skills. I am eager to learn, adapt quickly, and contribute with dedication and creativity to your program.</t>
  </si>
  <si>
    <t xml:space="preserve">from LinkedIn </t>
  </si>
  <si>
    <t xml:space="preserve">no,thanks </t>
  </si>
  <si>
    <t xml:space="preserve">Toka magdy fekry </t>
  </si>
  <si>
    <t>01201221674</t>
  </si>
  <si>
    <t>tokamagdy.f@gmail.com</t>
  </si>
  <si>
    <t>https://www.linkedin.com/in/toka-magdy-719806320/</t>
  </si>
  <si>
    <t>https://drive.google.com/open?id=1hRMjznMoHJvyi9M5ajkIeCFtvlAPavoW</t>
  </si>
  <si>
    <t xml:space="preserve">I have foundations in these topics I want to review and make real projects in structured way </t>
  </si>
  <si>
    <t xml:space="preserve">I am serious about learning and strength my knowledge in these topics through this scholarship and I'm really committed to attending sessions. </t>
  </si>
  <si>
    <t>Python Basics, Mathematics, Data Preprocessing, Data Analysis ( using python ), Introduction to Data Engineering ( Theoratical ), Machine Learning, Deep Learning, MLOps ( using AWS and/or Huwawie Cloud ), NLP &amp; LLMs, Computer Vision, Agentic AI</t>
  </si>
  <si>
    <t xml:space="preserve">Can share more about instructors and more details about scholarship </t>
  </si>
  <si>
    <t>Assem khaled Abdelaziz Elnahas</t>
  </si>
  <si>
    <t>01060133668</t>
  </si>
  <si>
    <t>assem.elnahas15@gmail.com</t>
  </si>
  <si>
    <t>https://www.linkedin.com/in/assem-elnahas-28887429a/</t>
  </si>
  <si>
    <t>https://drive.google.com/open?id=1yMBXLQvkWQreLXEm8m_SQ3ez3iDLbSK1</t>
  </si>
  <si>
    <t>To improve my AI skills and my portfolio</t>
  </si>
  <si>
    <t xml:space="preserve">I have future goals, which are to work in high position at Microsoft. </t>
  </si>
  <si>
    <t>from friend</t>
  </si>
  <si>
    <t>MLOps ( using AWS and/or Huwawie Cloud ), NLP &amp; LLMs, Computer Vision, Agentic AI, AI Tools, All AI Topics</t>
  </si>
  <si>
    <t>Brahimi Isra Nour El Yakine</t>
  </si>
  <si>
    <t>+213 558 912 231</t>
  </si>
  <si>
    <t>israbrahimi2002@gmail.com</t>
  </si>
  <si>
    <t>www.linkedin.com/in/isra-nour-el-yakine-b-713a38208</t>
  </si>
  <si>
    <t>https://drive.google.com/open?id=1E0R15WXRwAQT5lZXJZO4haTBb5fmR1jY</t>
  </si>
  <si>
    <t>I am passionate about artificial intelligence and its applications in real-world problems. This scholarship offers a structured opportunity to deepen my knowledge in AI, from Python programming to advanced topics like Machine Learning, Deep Learning, and NLP. I aim to leverage this knowledge to work on impactful AI projects and contribute to the AI community.</t>
  </si>
  <si>
    <t>I have a solid foundation in electronics and embedded systems, and I am currently expanding my expertise in AI and machine learning through personal projects. I am highly motivated, committed to continuous learning, and eager to actively participate in the scholarship activities, including the hackathon. I am confident that I will not only learn but also contribute positively to the program.</t>
  </si>
  <si>
    <t>I learned about this scholarship because I am currently doing an internship with your organization, and the opportunity was shared with us in our WhatsApp group.</t>
  </si>
  <si>
    <t>I am fully committed to dedicating time and effort to maximize my learning experience. I am excited about the hackathon and conference, and I look forward to applying my knowledge practically.</t>
  </si>
  <si>
    <t xml:space="preserve">Ahmed Mohamed Abdo Ahmed </t>
  </si>
  <si>
    <t>01097681506</t>
  </si>
  <si>
    <t>ahmedmedo.eng@gmail.com</t>
  </si>
  <si>
    <t>https://www.linkedin.com/in/ahmed-mohamed-50b555236?utm_source=share&amp;utm_campaign=share_via&amp;utm_content=profile&amp;utm_medium=android_app</t>
  </si>
  <si>
    <t>https://drive.google.com/open?id=1tTGMfk56QXh5QfUpGnjQdi9_0gusk21y</t>
  </si>
  <si>
    <t>Because I want to grow my skills and abilities.
The content I think it's perfect to make any ready to work in main filds.
Perfect instructors will teach us .
Communications that will be happening wih us.</t>
  </si>
  <si>
    <t xml:space="preserve">Willing in learning and development .
I have background in data and ai that will help to learn fast .
My wide area network will used to marketing for leaders this scholarship </t>
  </si>
  <si>
    <t>Waad Ahmed  ALAshry</t>
  </si>
  <si>
    <t>01093985873</t>
  </si>
  <si>
    <t>waadahmed583@gmail.com</t>
  </si>
  <si>
    <t>https://www.linkedin.com/in/waad-ahmed-214a7b370/</t>
  </si>
  <si>
    <t>https://drive.google.com/open?id=1qlvC6pS6O0gU4uGAkV9Ekz8IZzKnDQNW</t>
  </si>
  <si>
    <t>I am applying for this Artificial Intelligence scholarship because it is an important step toward achieving my academic and career goals. AI is becoming a core part of the future, and I want to gain strong knowledge and practical skills in this field.
This scholarship will help me access high-quality education and training that I would not be able to afford easily on my own. It will allow me to focus on learning, developing my skills, and building a strong foundation in AI.
I am motivated to use what I learn to build real solutions for real problems and to contribute positively to my community and future workplace. This opportunity will help me grow into a capable professional in the field of Artificial Intelligence.</t>
  </si>
  <si>
    <t>You should accept me because I am highly motivated, disciplined, and genuinely interested in learning Artificial Intelligence. I am committed to developing my technical skills and making the most of this opportunity.
I have a strong willingness to learn, the ability to work consistently, and the determination to overcome challenges. If accepted, I will actively participate, complete all requirements, and apply what I learn to real projects.
I see this scholarship not only as a learning opportunity, but as a responsibility. I am ready to put in the effort needed to succeed and to represent the program with dedication and professionalism</t>
  </si>
  <si>
    <t>I heard about this opportunity through LinkedIn.</t>
  </si>
  <si>
    <t>Data Analysis ( using python ), Machine Learning, Deep Learning, MLOps ( using AWS and/or Huwawie Cloud ), NLP &amp; LLMs, Computer Vision, Agentic AI, AI Tools</t>
  </si>
  <si>
    <t>Karam yahia sayed</t>
  </si>
  <si>
    <t>01002059451</t>
  </si>
  <si>
    <t>karamyahia46@gmail.com</t>
  </si>
  <si>
    <t xml:space="preserve">https://www.linkedin.com/in/karamyahia </t>
  </si>
  <si>
    <t>https://drive.google.com/open?id=1-HzScCaGDgdgJnbPbGvP01wi7W_HOhm0</t>
  </si>
  <si>
    <t xml:space="preserve">علشان انا بتعلم فى تراك الAiوحابب اخد المنحه معاكم </t>
  </si>
  <si>
    <t xml:space="preserve">علشان انا محتاج المنحه دى ومعنديش المقدره انى اخد كورس خارجى </t>
  </si>
  <si>
    <t>من صديق</t>
  </si>
  <si>
    <t>Machine Learning, Deep Learning, MLOps ( using AWS and/or Huwawie Cloud )</t>
  </si>
  <si>
    <t xml:space="preserve">لا يوجد </t>
  </si>
  <si>
    <t>https://drive.google.com/open?id=1e3t7lQTr5eLnQLFZaWqnxsrceMZnLRYb</t>
  </si>
  <si>
    <t xml:space="preserve">علشان  حابب مجال Ai  وحاليا بتعلم فى </t>
  </si>
  <si>
    <t xml:space="preserve">علشان انا محتاج المنحه دى وفى المقابل معنديش إمكانيات انى اخد كورس بى فلوس </t>
  </si>
  <si>
    <t xml:space="preserve"> من صديق لى </t>
  </si>
  <si>
    <t>Mathematics, Introduction to Data Engineering ( Theoratical ), Machine Learning, Deep Learning, MLOps ( using AWS and/or Huwawie Cloud )</t>
  </si>
  <si>
    <t>لا يوجد</t>
  </si>
  <si>
    <t xml:space="preserve">Zyad Shehatou Ezzeldin </t>
  </si>
  <si>
    <t>01121430722</t>
  </si>
  <si>
    <t>zeyadzezo2ze@gmail.com</t>
  </si>
  <si>
    <t>https://www.linkedin.com/in/zyad-shehatou-ezzeldin-53a7b5262?utm_source=share&amp;utm_campaign=share_via&amp;utm_content=profile&amp;utm_medium=ios_app</t>
  </si>
  <si>
    <t>https://drive.google.com/open?id=1p0Pn-beJSGHsJ4yOkgchduQqrFFti7Mh</t>
  </si>
  <si>
    <t>Because this is my major</t>
  </si>
  <si>
    <t xml:space="preserve">Because I need it to much and I have a good knowledge to start </t>
  </si>
  <si>
    <t>WhatsApp group and friends</t>
  </si>
  <si>
    <t>Python Basics, Mathematics, Data Preprocessing, Data Analysis ( using python ), Deep Learning, NLP &amp; LLMs, Computer Vision, Agentic AI, AI Tools, All AI Topics</t>
  </si>
  <si>
    <t>Thank you accept me.</t>
  </si>
  <si>
    <t>Mohanad Ahmed</t>
  </si>
  <si>
    <t>01223622359</t>
  </si>
  <si>
    <t>zzzzx4392@gmail.com</t>
  </si>
  <si>
    <t>www.linkedin.com/in/mohanad-elkheshen-91405434b</t>
  </si>
  <si>
    <t>https://drive.google.com/open?id=1_xl9s45GPH0GdFhi_UUh2AhBaa4k1Qhr</t>
  </si>
  <si>
    <t xml:space="preserve">I am currently studying Artificial Intelligence and I am highly motivated to build a strong and solid foundation in AI from both theoretical and practical perspectives. 
This scholarship represents a great opportunity for me to enhance my skills in Machine Learning, Deep Learning, and advanced AI topics such as NLP, Computer Vision, and LLMs.
I am particularly interested in gaining hands-on experience, working on real projects, and participating in hackathons that simulate real-world AI challenges. 
This scholarship aligns perfectly with my long-term goal of becoming a professional AI engineer capable of working on impactful and innovative AI solutions.
</t>
  </si>
  <si>
    <t xml:space="preserve">I believe I am a strong candidate for this scholarship because I am highly committed, self-motivated, and already building my background in Artificial Intelligence.
I have a solid foundation in programming, especially Python, and I am continuously learning Machine Learning and Deep Learning through structured courses and hands-on projects.
I am passionate about AI, disciplined in my learning process, and always eager to apply what I learn in real-world scenarios.
Additionally, I am goal-oriented and motivated to make the most out of this scholarship by actively participating in sessions, projects and the final employment conference at the last (give me a chance please ) ;thanks.
</t>
  </si>
  <si>
    <t xml:space="preserve">LinkedIn
</t>
  </si>
  <si>
    <t>give me a chance please ;thanks.</t>
  </si>
  <si>
    <t>مريم جمال احمد كمال عسكر</t>
  </si>
  <si>
    <t>01027653991</t>
  </si>
  <si>
    <t>mariamaskar244@gmail.com</t>
  </si>
  <si>
    <t>https://www.linkedin.com/in/mariam-askar-5bbb1328b?utm_source=share&amp;utm_campaign=share_via&amp;utm_content=profile&amp;utm_medium=ios_app</t>
  </si>
  <si>
    <t>https://drive.google.com/open?id=1ZuXIRnLb_HPQdH1bc1p8Gq8CkUUTcKoe</t>
  </si>
  <si>
    <t>To improve my skills and gain practical experience in my field</t>
  </si>
  <si>
    <t>Because I am motivated, committed, and eager to learn and grow</t>
  </si>
  <si>
    <t>zahraa abdalah</t>
  </si>
  <si>
    <t>01029334977</t>
  </si>
  <si>
    <t>zahraaabdalah244@gmail.com</t>
  </si>
  <si>
    <t>www.linkedin.com/in/ zahraa-abdalah-9ba731289</t>
  </si>
  <si>
    <t>https://drive.google.com/open?id=1eWxjYrYXxZmyIk8sulxos6Ka87DuDWFd</t>
  </si>
  <si>
    <t>“I want this scholarship because it will help me build strong, practical skills in data analysis and AI. It’s a valuable opportunity to learn from real projects, grow professionally, and prepare myself for a career in the data field.”</t>
  </si>
  <si>
    <t>because I’m highly motivated to learn data analysis and AI, with strong analytical thinking and attention to detail. I’m committed to developing my skills and applying what I learn in practical projects</t>
  </si>
  <si>
    <t xml:space="preserve">011 48660852 </t>
  </si>
  <si>
    <t>https://drive.google.com/open?id=1LMqoCEqcmA9Brj1RcMgn9x1Hp7bdZ-Ad</t>
  </si>
  <si>
    <t xml:space="preserve">To Improve My Skills &amp; Add Experience </t>
  </si>
  <si>
    <t xml:space="preserve">First Related To It ,Have Some Knowledge &amp; Time </t>
  </si>
  <si>
    <t xml:space="preserve">in AI FOR X EVENT AND My Friends </t>
  </si>
  <si>
    <t>Mathematics, Data Preprocessing, Data Analysis ( using python ), Introduction to Data Engineering ( Theoratical ), Machine Learning, Deep Learning, MLOps ( using AWS and/or Huwawie Cloud ), NLP &amp; LLMs, Computer Vision, AI Tools</t>
  </si>
  <si>
    <t xml:space="preserve">Keep Going </t>
  </si>
  <si>
    <t xml:space="preserve">Ahmed Raafat Ahmed Teama </t>
  </si>
  <si>
    <t xml:space="preserve">0109 965 4032 </t>
  </si>
  <si>
    <t>tahmdraft@gmail.com</t>
  </si>
  <si>
    <t>https://www.linkedin.com/in/ahmed-r-teaima</t>
  </si>
  <si>
    <t>https://drive.google.com/open?id=149--Eogk9a9PejcZQ3j1fNzHs_S9xNY_</t>
  </si>
  <si>
    <t xml:space="preserve">I am applying for this scholarship because I am deeply committed to becoming a specialist in Artificial Intelligence, a field I believe is the key to future innovation. I have already started my journey by learning the fundamental principles of programming and data logic, and I am now seeking the structured, high-level training that your program offers to elevate my skills to a professional level.
My goal is to leverage AI to develop intelligent solutions that improve efficiency and solve complex technical challenges. Receiving this scholarship would provide me with the essential resources and mentorship needed to contribute to the evolving tech landscape. I am eager to dedicate my time and effort to this program and to become an impactful member of the AI community.
</t>
  </si>
  <si>
    <t xml:space="preserve">You should accept my application because I possess the right mix of technical curiosity, discipline, and a clear vision for the future. I have already demonstrated my commitment to the field by mastering the basics of programming and data logic independently. Now, I am ready to scale those skills within a professional framework.
I am not just looking for a certificate; I am looking for the tools to build. I have the persistence to tackle complex problems and the collaborative mindset to grow within your community. By choosing me, you are investing in a dedicated learner who is committed to using AI responsibly to create innovative solutions and contribute positively to the tech ecosystem.
</t>
  </si>
  <si>
    <t>Linkden</t>
  </si>
  <si>
    <t xml:space="preserve">Thank you and I'm looking to hear from you </t>
  </si>
  <si>
    <t xml:space="preserve">Ehdaa Abdalluh Mohamed Abdullah </t>
  </si>
  <si>
    <t xml:space="preserve">ehdaaabdalla0@gmail.com </t>
  </si>
  <si>
    <t>https://www.linkedin.com/in/ehdaa-abdalla-a54274228?utm_source=share&amp;utm_campaign=share_via&amp;utm_content=profile&amp;utm_medium=android_app</t>
  </si>
  <si>
    <t>https://drive.google.com/open?id=1SAIi4rz3MBMCWIa2TZXFCPVJYX-P_rUt</t>
  </si>
  <si>
    <t xml:space="preserve">Because I study communication and electronics engineering and I have a background in the field of artificial intelligence and I would like to link it to my main field, Radio frequency optimization and antenna design </t>
  </si>
  <si>
    <t xml:space="preserve">Because I understand quickly and I am committed to carrying out the tasks required of me 
</t>
  </si>
  <si>
    <t>Mostafa omar</t>
  </si>
  <si>
    <t>+12169714139</t>
  </si>
  <si>
    <t>Daarsh2003@msn.com</t>
  </si>
  <si>
    <t>https://drive.google.com/open?id=1-AJrGNtZHkf6VhNyp1qv-9qc1yP2gmRF</t>
  </si>
  <si>
    <t xml:space="preserve">To get experience </t>
  </si>
  <si>
    <t xml:space="preserve">As i currently enroll in phd and need to gain more knowledge </t>
  </si>
  <si>
    <t>Asmahan Ahmed Mohammed Fared</t>
  </si>
  <si>
    <t>01005543815</t>
  </si>
  <si>
    <t>asmhanahmed386@gmail.com</t>
  </si>
  <si>
    <t>https://www.linkedin.com/in/asmahanahmed</t>
  </si>
  <si>
    <t>https://drive.google.com/open?id=1xkgNF9OIMBBkaA2bU5cWoOdpltos1UkP</t>
  </si>
  <si>
    <t>it will help me move from basic knowledge of Machine Learning and Deep Learning to strong skills in AI.
The program will give me practical experience through projects that we will work on during the scholarship, which is very important for real learning.
Also, being part of an AI community will help me learn from others, share ideas, and gain experience faster.
I am very excited to learn about Agentic AI, NLP, Data Engineering, and advanced topics such as Large Language Models (LLMs) and Computer Vision, because they match my career goals.</t>
  </si>
  <si>
    <t>I am very passionate about AI and serious about learning it in the right way.
I want to use what I learn not only to improve myself, but also to help others by sharing knowledge and working on useful projects.
I already have basic experience in Machine Learning and Data Science through previous training programs such as NTI and DEPI.
I am motivated, committed, and ready to actively participate and make the most of this scholarship.</t>
  </si>
  <si>
    <t>linkedin post</t>
  </si>
  <si>
    <t xml:space="preserve">Mohamed Ahmed Abdelmonem </t>
  </si>
  <si>
    <t>01113403680</t>
  </si>
  <si>
    <t>mohamed.ahmmmed114477@gmail.com</t>
  </si>
  <si>
    <t>https://www.linkedin.com/in/mohammed-abdelmonem19?utm_source=share&amp;utm_campaign=share_via&amp;utm_content=profile&amp;utm_medium=android_app</t>
  </si>
  <si>
    <t>https://drive.google.com/open?id=1cDQ9OyQ9ExrDnXv6hsYGGmDcGAIgHkje</t>
  </si>
  <si>
    <t xml:space="preserve">Gain More experience 
And know more connections </t>
  </si>
  <si>
    <t xml:space="preserve">Because I have experience 
And I graduated of ITI 
Information technology institute </t>
  </si>
  <si>
    <t>Machine Learning, Deep Learning, AI Tools, All AI Topics</t>
  </si>
  <si>
    <t xml:space="preserve">Abdallah mostafa abdalrahman abouhalawa </t>
  </si>
  <si>
    <t>01278585922</t>
  </si>
  <si>
    <t>abdallahmostafa62005@gmail.com</t>
  </si>
  <si>
    <t>https://www.linkedin.com/in/abdallah-mostafa3a?utm_source=share_via&amp;utm_content=profile&amp;utm_medium=member_android</t>
  </si>
  <si>
    <t>https://drive.google.com/open?id=1R8w7Vd2p3cTQt11fvXXiMOy_3bxG0IHH</t>
  </si>
  <si>
    <t>علشان عاوز اتعلم كتير عن مجالات الAi و يكون معايا شهاده من nvidia انى اخدت كورسات معاهم</t>
  </si>
  <si>
    <t xml:space="preserve">لانى عندى شغف انى اتعليم و استغاد من المنحه على قدر المستطاع </t>
  </si>
  <si>
    <t>لا مفيش</t>
  </si>
  <si>
    <t xml:space="preserve">Ayat mohamed fakhry </t>
  </si>
  <si>
    <t>https://www.linkedin.com/in/ayat-fakhary?utm_source=share&amp;utm_campaign=share_via&amp;utm_content=profile&amp;utm_medium=android_app</t>
  </si>
  <si>
    <t>https://drive.google.com/open?id=1I6-RBLj7eaG4ADSlxhWtPPpLCZEieU4s</t>
  </si>
  <si>
    <t>علشان ازود معلوماتى واقدر اشتغل ف التراك ده</t>
  </si>
  <si>
    <t>علشان انا حابب اتعلم جدا التراك ده واكبر فيه</t>
  </si>
  <si>
    <t>Ahmed Eid Hassan</t>
  </si>
  <si>
    <t>01207733213</t>
  </si>
  <si>
    <t>ahmedeid553@gmail.com</t>
  </si>
  <si>
    <t>www.linkedin.com/in/ahmed-1eid/</t>
  </si>
  <si>
    <t>https://drive.google.com/open?id=1wzX9wrHaLjPaMJxHUilCXnDVif9lQ5Hr</t>
  </si>
  <si>
    <t>I want this scholarship to deepen my knowledge in Artificial Intelligence rather than start from the very beginning. I already have a foundation in AI and machine learning, and I am looking to go deeper into selected topics through practical applications, advanced concepts, and hands-on challenges such as projects and hackathons. This program gives me the flexibility to focus on depth and real-world impact.</t>
  </si>
  <si>
    <t>I have a solid foundation in computer engineering and AI, and I am currently enrolled in an intensive 9-month technical program focused on AI and data science. This reflects my commitment, discipline, and ability to manage time while learning deeply. I aim to actively participate, contribute in the hackathon, and achieve strong results rather than just complete the program.</t>
  </si>
  <si>
    <t>Through Ahmed Hafez on LinkedIn</t>
  </si>
  <si>
    <t>I am currently enrolled in a 9-month AI and data science program. This scholarship may overlap with my current training, but I can manage my time effectively and will focus on advanced, hands-on AI topics that align with my background.</t>
  </si>
  <si>
    <t>https://www.linkedin.com/in/karamyahia</t>
  </si>
  <si>
    <t>https://drive.google.com/open?id=1E4illS9j5bp9-IP4ZzrqKu9_-Ks2MFmH</t>
  </si>
  <si>
    <t xml:space="preserve">انا فى هندسه اتصالات وإلكترونيات ويدرس فى تراك الAi  ومحتاج اتعلمو علشان اشتغل منو </t>
  </si>
  <si>
    <t>لانى محتاج الكورس جدا  وانا واخد اكتر من كورس فى مجال Ai</t>
  </si>
  <si>
    <t xml:space="preserve">سيف جلال مرسي </t>
  </si>
  <si>
    <t>01221704049</t>
  </si>
  <si>
    <t>Sgseifgalal55@gmail.com</t>
  </si>
  <si>
    <t>https://www.linkedin.com/in/seif-galal-02853b2aa?utm_source=share&amp;utm_campaign=share_via&amp;utm_content=profile&amp;utm_medium=android_app</t>
  </si>
  <si>
    <t>https://drive.google.com/open?id=1gndFavXdVI3ApWE1Gj1pgXVVASP5RXjv</t>
  </si>
  <si>
    <t>I want to increase my knowledge as much as I can and be capable to use Ai tools</t>
  </si>
  <si>
    <t>I guess I'd be so active and will give as much as I can</t>
  </si>
  <si>
    <t xml:space="preserve">Friend </t>
  </si>
  <si>
    <t>Python Basics, Machine Learning, Computer Vision, Agentic AI, AI Tools, All AI Topics</t>
  </si>
  <si>
    <t>Ahmad Azhar Almansoor</t>
  </si>
  <si>
    <t>+9647756004313</t>
  </si>
  <si>
    <t>ahmadazharalmansoor@gmail.com</t>
  </si>
  <si>
    <t>https://www.linkedin.com/in/ahmadazharinfo</t>
  </si>
  <si>
    <t>https://drive.google.com/open?id=1-KACK2k2cnsQTEW3k6yMukQdOMlgGLxv</t>
  </si>
  <si>
    <t>I need to Learn More Topics About Artificial Intelligence World to Become a Great Data Scientist.</t>
  </si>
  <si>
    <t>Honestly, Because I have A Good Knowledge about Ai &amp; Machine Learning Cycle, I Have Some Projects On Machine Learning Models, and Do Some Data Analysis Projects so i have Knowledge about this world, all i need is this scholarship to improve my knowledge.</t>
  </si>
  <si>
    <t>Introduction to Data Engineering ( Theoratical ), Machine Learning, Deep Learning, MLOps ( using AWS and/or Huwawie Cloud ), NLP &amp; LLMs, Computer Vision, Agentic AI</t>
  </si>
  <si>
    <t xml:space="preserve">Ibrahim zakaria Ibrahim Mostafa Ellaithy </t>
  </si>
  <si>
    <t>01274259126</t>
  </si>
  <si>
    <t>bailzellaithy@gmail.com</t>
  </si>
  <si>
    <t>https://www.linkedin.com/in/ibrahim-ellaithy-3224a13a9?utm_source=share&amp;utm_campaign=share_via&amp;utm_content=profile&amp;utm_medium=ios_app</t>
  </si>
  <si>
    <t>https://drive.google.com/open?id=1isFlsPRS_4W9CvWY9eubsge5HTCsUKxL</t>
  </si>
  <si>
    <t xml:space="preserve">للتطبيق والدراسه فيها والعمل عليها وتطوير نفسي ومهاراتي </t>
  </si>
  <si>
    <t xml:space="preserve">التوافق والشغف 
ولان اهدافي تتوافق معا هذه المنحه واري نفسي فيها جيد ويجب التطبيق والعمل بيها </t>
  </si>
  <si>
    <t xml:space="preserve">أنا أتابع هذه المنحه من فترة </t>
  </si>
  <si>
    <t>Python Basics, Mathematics, Data Preprocessing, Data Analysis ( using python ), Introduction to Data Engineering ( Theoratical ), Machine Learning, Deep Learning, Computer Vision, Agentic AI, AI Tools</t>
  </si>
  <si>
    <t>ThankS</t>
  </si>
  <si>
    <t>Mohamed Gamal Askar</t>
  </si>
  <si>
    <t>01102644939</t>
  </si>
  <si>
    <t>mg.askar.ai@gmail.com</t>
  </si>
  <si>
    <t>https://www.linkedin.com/in/mohamedgamalaskar/</t>
  </si>
  <si>
    <t>https://drive.google.com/open?id=1f-xh7TMvVtfxsUjZEw5DZGq77NDpFXbr</t>
  </si>
  <si>
    <t>"أنا طول عمري مهتم جداً بمجال رؤية الحاسبComputer Vision ونفسي بجد أشارك في تطوير حلول ذكية  المنحة دي بالنسبة لي هي الفرصة اللي هتوفر لي الإمكانيات والبيئة اللي تساعدني أطور مهاراتي خصوصاً في قراءة وفهم الأبحاث العلمية التقيلة وإزاي أقدر أنفذ الكلام ده فعلياً على أرض الواقع
أنا مش باصص للمنحة على إنها مجرد دعم مادي وبس أنا بدور على مجتمع علمي يشجعني إني أبتكر وأطلع أحسن ما عندي ومن خلال المنحة ديبخطط إني أستخدم مهاراتي في حل مشاكل حقيقية بتواجهنا ونفسي أكون جزء من الناس اللي بتطور المحتوى العلمي في بلدي وأقدر أنقل الخبرات دي في مجالات التكنولوجيا الحديثة.</t>
  </si>
  <si>
    <t>الحقيقة أنا مش مجرد خريج كمبيوتر ساينس جايب تقدير وخلاص أنا شخص بيعشق تفاصيل التفاصيل مبيكفنيش إني أشغل كود وخلاص، لازم أفهم ليه و إزاي
دلوقتي كل تركيزي ومجهودي رايح للـ Computer Vision وبدل ما أقف عند اللي اتعلمته في الكلية بدأت أدوس لوحدي في الـ Research Papers وأحلل نماذج أنا بقدم في المنحة دي لأني ببساطة جاهز الأساس عندي والشغف موجود ومستعد أتعب. كل اللي ناقصني هو المكان الصح اللي يوجهني ويحطني على الطريق عشان أحول المجهود ده لشغل بحثي حقيقي له قيمة ويضيف للمجال</t>
  </si>
  <si>
    <t>شكرا</t>
  </si>
  <si>
    <t xml:space="preserve">Raghad Hamdy Ahmed Ibrahim </t>
  </si>
  <si>
    <t xml:space="preserve">0109 685 2923 </t>
  </si>
  <si>
    <t>raghadeldieb595@gmail.com</t>
  </si>
  <si>
    <t>https://www.linkedin.com/in/raghad-el-dieb-842a57262?utm_source=share&amp;utm_campaign=share_via&amp;utm_content=profile&amp;utm_medium=android_app</t>
  </si>
  <si>
    <t>https://drive.google.com/open?id=1f0ohrhUwraF4AarO43YUVupqzpW19OEv</t>
  </si>
  <si>
    <t>I am interested in this role because it sits at the intersection of technical complexity and immediate business impact. As an Automation Architect, I’ve spent the last year specialized in n8n, building agentic workflows that use prompt engineering to solve multi-step problems. 
​I’m particularly drawn to building for coaches and consultants because their success depends on context. My background in RAG-ready systems and full-stack deployment—like the real-time clinical dashboard I engineered—proves I can take a client's 'blueprint' and turn it into a professional, user-facing tool. 
​I love the autonomy of taking a high-level architecture and ensuring it's production-ready, whether that’s through secure API integrations or optimizing for 24/7 reliability. I want to use my skills in Python and automation to create those 'AI Operating Systems' that give consultants their time back.</t>
  </si>
  <si>
    <t>I am a detail-oriented AI Engineer and Automation Architect with a 3.62 GPA and a focus on building scalable
 machine learning solutions. Experienced in engineering complex n8n workflows and deploying full-stack AI 
applications using Streamlit and Flask. Proven leader in academic environments with a deep understanding 
of computer vision, NLP, and predictive analytics.</t>
  </si>
  <si>
    <t xml:space="preserve">Linkedin advertisement </t>
  </si>
  <si>
    <t>Data Analysis ( using python ), MLOps ( using AWS and/or Huwawie Cloud ), NLP &amp; LLMs, Computer Vision, All AI Topics</t>
  </si>
  <si>
    <t>I am ready to join any hackathons, seminars, events, etc.</t>
  </si>
  <si>
    <t>Ali Adel</t>
  </si>
  <si>
    <t>01276685990</t>
  </si>
  <si>
    <t>aliadel.engineer@gmail.com</t>
  </si>
  <si>
    <t>https://www.linkedin.com/in/ali-adel-8942aa346</t>
  </si>
  <si>
    <t>https://drive.google.com/open?id=1UktJq8f7ed98SEhNCHy7ZaR0WIx3xNEb</t>
  </si>
  <si>
    <t>Because I'm the best</t>
  </si>
  <si>
    <t xml:space="preserve">a friend </t>
  </si>
  <si>
    <t>Mathematics, Data Preprocessing, Data Analysis ( using python ), Machine Learning, Deep Learning, MLOps ( using AWS and/or Huwawie Cloud ), NLP &amp; LLMs, Computer Vision, Agentic AI, AI Tools, All AI Topics</t>
  </si>
  <si>
    <t>Omar Shawky Salah</t>
  </si>
  <si>
    <t>01022318606</t>
  </si>
  <si>
    <t>omargenius2013@gmail.com</t>
  </si>
  <si>
    <t>https://www.linkedin.com/in/omarshawkys/</t>
  </si>
  <si>
    <t>https://drive.google.com/open?id=1IjswAnr97ROX8GhsBV90pH-xTjSQGH2c</t>
  </si>
  <si>
    <t>Because I need a community to advance my skills, my problem was that I was walking alone, so I wasted alot of effort. Now I need to know community. After knowing Mr.Ahmed Hafez, I am soo excited to work with him.</t>
  </si>
  <si>
    <t>Because I am super excited to learn, Also I will be finishing college, so I will be on fire mode.
Aside that, I am a new candidate that came from bottom of Egypt which is Aswan, so I will go to Cairo and start my career.</t>
  </si>
  <si>
    <t>There is a well known guy in the AI Industry refered me to Mr. Ahmed Hafez.</t>
  </si>
  <si>
    <t>I want to know more details about the time, and so on...   :)</t>
  </si>
  <si>
    <t>Abdallah Mohamed Abdelzaher</t>
  </si>
  <si>
    <t>01200490593</t>
  </si>
  <si>
    <t>abdallah.abdlzaher@gmail.com</t>
  </si>
  <si>
    <t>www.linkedin.com/in/abdallahabdelzaher</t>
  </si>
  <si>
    <t>https://drive.google.com/open?id=1AVlpLriPE6sbNK2dwwapHw3PE_raP30L</t>
  </si>
  <si>
    <t>To improve my skills in ai and ML , make connections with other people and i trust this train make me work in short time.</t>
  </si>
  <si>
    <t>I have a big base in ai and ML ,so this train will make me better , I have strong communication skills and have strong problem solving mind.</t>
  </si>
  <si>
    <t>Linkedin and whatsapp</t>
  </si>
  <si>
    <t>what the time will we start and what is the content of each topic?</t>
  </si>
  <si>
    <t xml:space="preserve">Khadega Ali Mohamed </t>
  </si>
  <si>
    <t>01117576150</t>
  </si>
  <si>
    <t>khadegaalimohamed7@gmail.com</t>
  </si>
  <si>
    <t>https://www.linkedin.com/in/khadega-ali-a614b7245?utm_source=share&amp;utm_campaign=share_via&amp;utm_content=profile&amp;utm_medium=ios_app</t>
  </si>
  <si>
    <t>https://drive.google.com/open?id=1uPZ2CMiAoAuhmnSz9_IX-s3Ipf2Kcwr_</t>
  </si>
  <si>
    <t>because it will give me the opportunity to continue developing my skills</t>
  </si>
  <si>
    <t>I am a motivated hardworking and dedicated learner who is committed to continuous self improvement I have a strong academic background in Computer Science and practical experience in AI</t>
  </si>
  <si>
    <t>Machine Learning, Deep Learning, NLP &amp; LLMs, Computer Vision</t>
  </si>
  <si>
    <t xml:space="preserve">Sultan Ahmed Mostafa </t>
  </si>
  <si>
    <t>01276002957</t>
  </si>
  <si>
    <t>sultan393493@gmail.com</t>
  </si>
  <si>
    <t>https://www.linkedin.com/in/sultan-a7med</t>
  </si>
  <si>
    <t>https://drive.google.com/open?id=1yTm911Y0-b3vpQ9ukmsjId0MNtTaN2kV</t>
  </si>
  <si>
    <t>I am a final-year Artificial Intelligence student, and I am applying for this scholarship to gain practical experience that will help me start my career after graduation. This opportunity will help me build real skills and improve my chances of finding a job quickly.</t>
  </si>
  <si>
    <t>You should accept me because I am eager to learn, committed, and ready to put in the effort. This opportunity means a lot to me, and I will make the most of it to build real skills and grow professionally.</t>
  </si>
  <si>
    <t>I heard about you through Engineer Ahmed Hafez, whom I have known for around three to four years since my early college days, even before Aitronix. Some of my friends trained with you, but unfortunately, due to financial circumstances, I was not able to join at that time.</t>
  </si>
  <si>
    <t>Data Preprocessing, Data Analysis ( using python ), Machine Learning, Deep Learning, MLOps ( using AWS and/or Huwawie Cloud ), NLP &amp; LLMs, Agentic AI</t>
  </si>
  <si>
    <t>I really need this course to help me gain practical experience, as I cannot afford expensive courses. I also feel that most free programs available before graduation do not offer advanced or in-depth content. I truly hope to be accepted into your program, as I believe it will make a real difference in my skills and career path.</t>
  </si>
  <si>
    <t>linkedin.com/in/dina-ahmed-21675b134</t>
  </si>
  <si>
    <t>https://drive.google.com/open?id=12GUhJjQpyuUhGyXUAhxxL8Uo0MElU-MF</t>
  </si>
  <si>
    <t>I want to join NVIDIA training because it provides industry-standard knowledge directly aligned with real-world AI and high-performance computing workflows. NVIDIA’s training combines strong theoretical foundations with hands-on, GPU-accelerated practice, which is essential for building scalable, production-ready solutions. This opportunity will help me deepen my technical skills, stay aligned with current industry tools, and apply best practices used by leading AI teams.</t>
  </si>
  <si>
    <t>You should accept me because I bring a strong balance of technical capability, practical execution, and commitment to quality. I don’t just learn concepts—I apply them, deliver results, and continuously improve. I work well under pressure, manage challenges with discipline, and contribute positively to team goals while maintaining high professional standards</t>
  </si>
  <si>
    <t>Linked In</t>
  </si>
  <si>
    <t xml:space="preserve">Text me on whats app first </t>
  </si>
  <si>
    <t>Karim Hamada Mohamed</t>
  </si>
  <si>
    <t>01119576574</t>
  </si>
  <si>
    <t>karimhamada221@gmail.com</t>
  </si>
  <si>
    <t>https://www.linkedin.com/in/karim-hamada/</t>
  </si>
  <si>
    <t>https://drive.google.com/open?id=1qwn6htddEy1Xj42MjwE7carEEOBCGYzd</t>
  </si>
  <si>
    <t xml:space="preserve">to learn more and more about ai and data science filed </t>
  </si>
  <si>
    <t>I’m passionate about Data and Artificial Intelligence, and I love continuous learning to keep growing and staying up-to-date with the latest in technology.</t>
  </si>
  <si>
    <t xml:space="preserve">linked in </t>
  </si>
  <si>
    <t>Data Preprocessing, Data Analysis ( using python ), Machine Learning, Deep Learning, MLOps ( using AWS and/or Huwawie Cloud ), NLP &amp; LLMs, Computer Vision, Agentic AI, AI Tools, All AI Topics</t>
  </si>
  <si>
    <t>Logain Abdallah Ahmed</t>
  </si>
  <si>
    <t>01153443530</t>
  </si>
  <si>
    <t>loginabdallah899@gmail.com</t>
  </si>
  <si>
    <t>linkedin.com/in/logain-abdallah</t>
  </si>
  <si>
    <t>https://drive.google.com/open?id=1IwrtRcYqujx9Hx0Qb8WYJYGLtPM_pVv-</t>
  </si>
  <si>
    <t>I want this scholarship to gain real and practical AI experience beyond my academic studies. As a recent graduate, I need guidance and hands-on practice to be able to compete in the job market and secure a good opportunity because this program will help me learn deeply, work on projects, and get closer to a career in AI. I’m committed to making the most of this opportunity.</t>
  </si>
  <si>
    <t>Because i am a recent graduate and haven’t started working yet, so i really need this opportunity to gain practical experience and strengthen my CV. I am highly motivated and committed to fully participating in the program, completing all projects, and learning as much as possible. This scholarship will give me the guidance, hands-on experience, and project exposure i need to compete in the job market and secure a good career in AI.</t>
  </si>
  <si>
    <t>From Engineer Ahmed Hafez</t>
  </si>
  <si>
    <t>Python Basics, Mathematics, Data Preprocessing, Data Analysis ( using python ), Introduction to Data Engineering ( Theoratical ), Machine Learning, Deep Learning, MLOps ( using AWS and/or Huwawie Cloud ), NLP &amp; LLMs, Agentic AI, AI Tools, All AI Topics</t>
  </si>
  <si>
    <t>I really need this scholarship as a recent graduate to gain practical experience and improve my chances of finding a good job. I’m fully committed to participating in all projects and learning as much as possible.</t>
  </si>
  <si>
    <t xml:space="preserve">Tarek Mamdouh Abdellkarim Braik </t>
  </si>
  <si>
    <t>01025153475</t>
  </si>
  <si>
    <t>tarekelgraidy@gmail.com</t>
  </si>
  <si>
    <t>linkedin.com/in/tarek-elgraidy</t>
  </si>
  <si>
    <t>https://drive.google.com/open?id=1dhBxu1wRhJR0hqvmD_gSG89ogvWZfbdg</t>
  </si>
  <si>
    <t>I want this scholarship to gain real, practical AI experience beyond my academic studies. As a recent graduate, I need guidance and hands-on practice to be able to compete in the job market and secure a good opportunity. This program will help me learn deeply, work on projects, and get closer to a career in AI. I’m committed to making the most of this opportunity</t>
  </si>
  <si>
    <t>Because I am a recent graduate and haven’t started working yet, so I really need this opportunity to gain practical experience and strengthen my CV. I am highly motivated and committed to fully participating in the program, completing all projects, and learning as much as possible. This scholarship will give me the guidance, hands-on experience, and project exposure I need to compete in the job market and secure a good career in AI</t>
  </si>
  <si>
    <t xml:space="preserve">SARA ABDELMONEIM AHMED ALI </t>
  </si>
  <si>
    <t>01001260177</t>
  </si>
  <si>
    <t>sara.abdelmonem.2002@gmail.com</t>
  </si>
  <si>
    <t>https://www.linkedin.com/in/sara-khattab-tech?utm_source=share&amp;utm_campaign=share_via&amp;utm_content=profile&amp;utm_medium=ios_app</t>
  </si>
  <si>
    <t>https://drive.google.com/open?id=1sunkn12CIhUw4CpnqNJxt10LeUx_UFGY</t>
  </si>
  <si>
    <t>I want this scholarship because I’m actively building my career in the technology field, and gaining practical knowledge in Artificial Intelligence is an essential next step for me. I already have a background in software testing and IT, and I want to expand my skills to better understand how intelligent systems work and how they can be applied in real-world scenarios.
This opportunity would allow me to learn AI in a structured, hands-on way under the guidance of a leading global company like Huawei, which would have a real impact on my professional growth and future career path.</t>
  </si>
  <si>
    <t>You should accept me because I’m highly committed, disciplined, and genuinely motivated to learn. I have already proven my dedication by completing multiple IT and software testing programs, and I consistently apply what I learn to improve my skills.
I take learning seriously, adapt quickly, and make the most of every opportunity I’m given. With the right guidance and training, I’m confident I can add value to this program and grow into a strong contributor in the tech field.</t>
  </si>
  <si>
    <t>LinkedIn post</t>
  </si>
  <si>
    <t>I’m highly committed to this program and ready to fully engage in all its learning activities.</t>
  </si>
  <si>
    <t>Tebyan samy taha abdeldayem</t>
  </si>
  <si>
    <t>01010359652</t>
  </si>
  <si>
    <t>tebyan.samy2003@gmail.com</t>
  </si>
  <si>
    <t>https://www.linkedin.com/in/tebyansamy1?utm_source=share&amp;utm_campaign=share_via&amp;utm_content=profile&amp;utm_medium=android_app</t>
  </si>
  <si>
    <t>https://drive.google.com/open?id=1Vq8bsD15-Ju7LRwKUptpxt_ZPIep_Vpy</t>
  </si>
  <si>
    <t>To improve my practical skills</t>
  </si>
  <si>
    <t>because i'm smart and easy to learn so i will got benifit from the scholarship ,i can work in a team and help collegues if they need.</t>
  </si>
  <si>
    <t>From a friend</t>
  </si>
  <si>
    <t xml:space="preserve">Ali Hassan </t>
  </si>
  <si>
    <t>01126958265</t>
  </si>
  <si>
    <t>alyhassn48@gmail.com</t>
  </si>
  <si>
    <t>https://www.linkedin.com/in/alihassan21</t>
  </si>
  <si>
    <t>https://drive.google.com/open?id=1hIrQKIKCpgNZv_4lVwnNlwbElfrlQM6R</t>
  </si>
  <si>
    <t>It will help me to prepare myself for the market,IAM interested in Al and using Al in marketing and make a marketing videos
Make a Shift career with Al</t>
  </si>
  <si>
    <t xml:space="preserve">Heighly motivated focus on the Main goal interested in practical work,love to help people and make awareness a bout things people don't know </t>
  </si>
  <si>
    <t>Agentic AI, AI Tools, All AI Topics</t>
  </si>
  <si>
    <t>Could you call me I had A Questions</t>
  </si>
  <si>
    <t xml:space="preserve">Menna Abu-khadra </t>
  </si>
  <si>
    <t>01016054595</t>
  </si>
  <si>
    <t>mmabukhadra05@gmail.com</t>
  </si>
  <si>
    <t>https://www.linkedin.com/in/menna-abu-khadra-99887b229</t>
  </si>
  <si>
    <t>https://drive.google.com/open?id=1wG8FFplY9m_z1Y-KQDCpvBJHbHbFXjKD</t>
  </si>
  <si>
    <t>I want this scholarship because I am passionate about Artificial Intelligence and I always enjoy learning more and improving my skills. This opportunity will help me grow and learn in a more focused and structured way.</t>
  </si>
  <si>
    <t>You should accept me because I am passionate about learning and always eager to develop myself and improve my skills.</t>
  </si>
  <si>
    <t>Mahmoud Omar</t>
  </si>
  <si>
    <t>01069681962</t>
  </si>
  <si>
    <t>mmok69700@gmail.com</t>
  </si>
  <si>
    <t>https://www.linkedin.com/in/mahmoud-omar-190143354?lipi=urn%3Ali%3Apage%3Ad_flagship3_profile_view_base_contact_details%3BBPBSr0fiSbW3NVdfDRBuZA%3D%3D</t>
  </si>
  <si>
    <t>https://drive.google.com/open?id=1qbjrzQizVwEhe_uXrmRtUcbmco37md_0</t>
  </si>
  <si>
    <t>I want to gain practical AI skills and deepen my understanding to build real-world projects</t>
  </si>
  <si>
    <t>I am motivated eager to learn</t>
  </si>
  <si>
    <t>Abdelrahman Mohamed Salama</t>
  </si>
  <si>
    <t>01050054710</t>
  </si>
  <si>
    <t>abdelrahman20205050@gmail.com</t>
  </si>
  <si>
    <t>www.linkedin.com/in/abdelrahman-mohamed-salama05</t>
  </si>
  <si>
    <t>https://drive.google.com/open?id=1p-rc1swFDLOOk06piqzwJumePGwLYEme</t>
  </si>
  <si>
    <t>I’m excited about this scholarship because it’s a great opportunity to learn more about AI, gain hands-on experience, and work on projects that can make a real impact.</t>
  </si>
  <si>
    <t>I’m passionate about AI, eager to learn, and ready to contribute my skills and energy to the program.</t>
  </si>
  <si>
    <t>From my friends</t>
  </si>
  <si>
    <t>Data Preprocessing, Data Analysis ( using python ), Introduction to Data Engineering ( Theoratical ), Machine Learning, Deep Learning</t>
  </si>
  <si>
    <t>Mahmoud Mohamed Amin</t>
  </si>
  <si>
    <t>01096408925</t>
  </si>
  <si>
    <t>mahmoud.amin.othman@gmail.com</t>
  </si>
  <si>
    <t>https://www.linkedin.com/in/mahmoud-amin-eng?utm_source=share&amp;utm_campaign=share_via&amp;utm_content=profile&amp;utm_medium=android_app</t>
  </si>
  <si>
    <t>https://drive.google.com/open?id=1BMerT8T5YRls7E__9ODsSAbTtj48Rb4i</t>
  </si>
  <si>
    <t>To Develop my tech level in AI, so I can get a full time job</t>
  </si>
  <si>
    <t xml:space="preserve">For my commitment </t>
  </si>
  <si>
    <t>Machine Learning, Deep Learning, NLP &amp; LLMs, Agentic AI</t>
  </si>
  <si>
    <t xml:space="preserve">Abdelrhman Khalil Abdallah </t>
  </si>
  <si>
    <t>01157853990</t>
  </si>
  <si>
    <t>ak2158@fayoum.edu.eg</t>
  </si>
  <si>
    <t>https://www.linkedin.com/in/abdulrahman-khalil-ba64272a3?utm_source=share&amp;utm_campaign=share_via&amp;utm_content=profile&amp;utm_medium=android_app</t>
  </si>
  <si>
    <t>https://drive.google.com/open?id=1jBvHmxqCc0RWGUvu9JIChhlZxqNrfbp0</t>
  </si>
  <si>
    <t xml:space="preserve">to gain more information and experience and artificial intelligence and data science </t>
  </si>
  <si>
    <t xml:space="preserve">I am maybe a high active student </t>
  </si>
  <si>
    <t>Data Preprocessing, Data Analysis ( using python ), Introduction to Data Engineering ( Theoratical ), Machine Learning, Deep Learning, NLP &amp; LLMs, Computer Vision, Agentic AI</t>
  </si>
  <si>
    <t xml:space="preserve">ابرام هاني عدلي </t>
  </si>
  <si>
    <t>01274656663</t>
  </si>
  <si>
    <t>abramhany9@gmail.com</t>
  </si>
  <si>
    <t>https://www.linkedin.com/in/abram-hany-190284283/</t>
  </si>
  <si>
    <t>https://drive.google.com/open?id=1F7M-29pJ3UGHwZI-R5cNVJLe2bBwIKH_</t>
  </si>
  <si>
    <t xml:space="preserve">Because I want to learn so I can benfite other and myself and to create a better society one must give </t>
  </si>
  <si>
    <t>Because why not!</t>
  </si>
  <si>
    <t>for the the instructor eng.Ahmed hafez</t>
  </si>
  <si>
    <t>Menna Gamal Aboelela</t>
  </si>
  <si>
    <t>01275416664</t>
  </si>
  <si>
    <t>mennagamal2852022@gmail.com</t>
  </si>
  <si>
    <t>https://www.linkedin.com/in/menna-gamal624/</t>
  </si>
  <si>
    <t>https://drive.google.com/open?id=13jygAjRA9xQwicv0ywIx5HmOqwVq7d0R</t>
  </si>
  <si>
    <t>I want this scholarship because it is the opportunity I have been waiting for to grow in Artificial Intelligence. My journey began at 16 with the AI Diploma at ODC – Instant 2022 under Engineer Ahmed Hafez, which sparked my passion for AI. Even though I was young and didn’t fully grasp everything then, it planted a lasting love for the field.
After pausing my journey, I realized that AI is truly the path I want to follow, I returned and completed the AI STEM Plus+ Program '25, which covered basic Python, Mathematics, Machine Learning, and Deep Learning. While it gave me a simple foundation, I have always wanted to continue learning AI in a deeper, structured way.
This scholarship is exactly the chance I have been waiting for to return and continue learning under Engineer Ahmed Hafez, strengthen my skills, and turn my passion into real knowledge and practical growth.</t>
  </si>
  <si>
    <t>You should accept me because I am genuinely passionate about Artificial Intelligence and fully committed to this track. I love exploring every topic in depth, researching beyond what is taught, and applying my knowledge in real, impactful projects.
I will be dedicated to attending all sessions and completing every task, making sure I gain the maximum benefit. I learn quickly, enjoy challenges, and am motivated to deepen my skills and reach my full potential.
I see this scholarship as the perfect opportunity to advance, challenge myself, and turn my passion for AI into real knowledge, practical skills, and meaningful contributions.</t>
  </si>
  <si>
    <t>Engineer Ahmed Hafez on LinkedIn</t>
  </si>
  <si>
    <t>Ahmed nader gouda</t>
  </si>
  <si>
    <t>01128804804</t>
  </si>
  <si>
    <t>a.gouda8wo@gmail.com</t>
  </si>
  <si>
    <t>https://www.linkedin.com/in/ahmed-nader-gouda-b38b92184?utm_source=share_via&amp;utm_content=profile&amp;utm_medium=member_android</t>
  </si>
  <si>
    <t>https://drive.google.com/open?id=12hGwpJwjFNDXHkqBc32dY33R0GrX9Ubh</t>
  </si>
  <si>
    <t>انا كنت بذاكر ai من ٢٠٢٢ وما اتوفقتش في شغل واشتغلت في حاجه تانيه بس لسه شغفي متعلق ب ال ai وعاوز ادخل المنحه دي عشان اراجع علي اللي كنت مذاكره واحضر نفسي كويس والاقي فرصه كويسه مع نهاية المنحه لان فيه توظيف في اخرها زي الاعلان مابيقول باذن الله</t>
  </si>
  <si>
    <t xml:space="preserve">انا مستعد ابذل اللازم عشان اكون من المتفوقين والمرشحين للتوظيف بنهاية المنحه ومش ههدر وقتكم ع الفاضي يعني </t>
  </si>
  <si>
    <t>انا كنت اخدت كورس ai مع بشمهندس احمد حافظ قبل كدا في. Instant واعرفه واعرف ان دي شركته وصفحته</t>
  </si>
  <si>
    <t>لا</t>
  </si>
  <si>
    <t xml:space="preserve">Yousef Mohamed </t>
  </si>
  <si>
    <t>01015857675</t>
  </si>
  <si>
    <t>ywsfm7560@gmail.com</t>
  </si>
  <si>
    <t>https://www.linkedin.com/in/yousef-mohamed-ss</t>
  </si>
  <si>
    <t>https://drive.google.com/open?id=1rhIRYxeAm5MG417nlVO0fg50I_SD8fNs</t>
  </si>
  <si>
    <t>I want to learn more about artificial intelligence and improve my data analysis skills.</t>
  </si>
  <si>
    <t>I have received several training courses from accredited governmental and international organizations.</t>
  </si>
  <si>
    <t>Asmaa Ibrahim Moustafa</t>
  </si>
  <si>
    <t>01068516112</t>
  </si>
  <si>
    <t>asmaaelnagger32@gmail.com</t>
  </si>
  <si>
    <t>asmaa-ibrahim-b4225b322</t>
  </si>
  <si>
    <t>https://drive.google.com/open?id=1kkNKq7YVIwxKyN3g9jpStCA_V5zMabek</t>
  </si>
  <si>
    <t>I am applying for this scholarship to strengthen my research-oriented foundation in Artificial Intelligence and support my academic path as a Pre-Master student. I graduated as the top student of my institute with a 95.5% cumulative GPA, and I currently serve as a Teaching Assistant for Computer Vision, where I deliver lab sessions and supervise 3 graduation projects.
My academic and project experience focuses on Computer Vision and Medical Imaging, particularly deep learning–based disease detection systems. Through these projects, I developed a strong interest in experimental design, model evaluation, and transforming theoretical concepts into practical, research-driven implementations.
This scholarship provides a structured and comprehensive AI curriculum that aligns with my goal of deepening my knowledge in Machine Learning, Deep Learning, and advanced AI systems. It will equip me with the methodological depth and technical expertise necessary to conduct high-quality research and pursue future postgraduate studies in Artificial Intelligence.</t>
  </si>
  <si>
    <t>graduated as the top student of my institute (95.5% GPA), work as a Computer Vision Teaching Assistant, and have hands-on experience supervising 3 graduation projects and developing research-oriented AI solutions. I am highly disciplined, research-driven, and committed to continuous learning, which makes me a strong contributor who will fully benefit from—and add value to—this scholarship.</t>
  </si>
  <si>
    <t>Facebook(Eng-Ahmed Hafez)</t>
  </si>
  <si>
    <t>Python Basics, Mathematics, Data Preprocessing, Data Analysis ( using python ), Introduction to Data Engineering ( Theoratical ), Machine Learning, Deep Learning, Computer Vision, AI Tools</t>
  </si>
  <si>
    <t>I would like to sincerely thank you for your efforts in enriching Arabic AI content and making advanced Artificial Intelligence education more accessible to students and graduates. Providing high-quality learning opportunities at an affordable cost reflects a strong commitment to empowering the next generation of AI professionals. Initiatives like this play a crucial role in bridging the knowledge gap and supporting learners who are passionate about building meaningful careers in AI.</t>
  </si>
  <si>
    <t>Hady Omar Mohamed Ismail</t>
  </si>
  <si>
    <t>01061486666</t>
  </si>
  <si>
    <t>hadyomar211@gmail.com</t>
  </si>
  <si>
    <t>https://www.linkedin.com/in/hady-omar-51b832381?utm_source=share&amp;utm_campaign=share_via&amp;utm_content=profile&amp;utm_medium=android_app</t>
  </si>
  <si>
    <t>https://drive.google.com/open?id=1c4VBdhjIQkMEVZwo4wg_4Ns3BZxRlpNF</t>
  </si>
  <si>
    <t>I am applying for this scholarship to strengthen my skills in Artificial Intelligence and prepare for a professional career in the field. With a background in Electrical and Electronics Engineering and hands-on experience in Python and AI fundamentals, I am ready to study all AI topics in a focused, practical program.
This scholarship will help me turn my technical foundation into real-world AI expertise and deliver impactful, data-driven soluti</t>
  </si>
  <si>
    <t>You should accept me because I have a strong technical foundation, clear commitment to Artificial Intelligence, and proven ability to apply what I learn to real projects. With hands-on experience in Python, machine learning fundamentals, and smart systems, I am ready to fully benefit from this scholarship and contribute seriously to the program.</t>
  </si>
  <si>
    <t xml:space="preserve">Mohamed ahmed Younis </t>
  </si>
  <si>
    <t>01096306178</t>
  </si>
  <si>
    <t>mohamed2004younis@gmail.com</t>
  </si>
  <si>
    <t>https://www.linkedin.com/in/mohamed-younis-452852283</t>
  </si>
  <si>
    <t>https://drive.google.com/open?id=1PApLOdNTiSEwrhtduLvdTRbUb8rICKDE</t>
  </si>
  <si>
    <t>I want a Deep Learning scholarship to develop my AI skills and build successful business projects as a software developer from Cairo, achieving my dreams in the business world.</t>
  </si>
  <si>
    <t>I've built practical AI systems using Python and OpenCV, plus strong machine learning projects, showing persistence and skills that align with your scholarship's goals for future leaders, As a dedicated self-learner from Egypt, I'll maximize this opportunity to excel, contribute to the community, and pioneer AI ventures for global change.</t>
  </si>
  <si>
    <t>From eng.ahmed hafez</t>
  </si>
  <si>
    <t>Data Analysis ( using python ), Deep Learning, NLP &amp; LLMs, Computer Vision</t>
  </si>
  <si>
    <t xml:space="preserve">None </t>
  </si>
  <si>
    <t>Adham Ashraf Salah Waheed</t>
  </si>
  <si>
    <t>01142087556</t>
  </si>
  <si>
    <t>adhamashraf0114208@gmail.com</t>
  </si>
  <si>
    <t>https://www.linkedin.com/in/adham-ashraf-01aa8432a/</t>
  </si>
  <si>
    <t>https://drive.google.com/open?id=18L0uWuZJGVb6EfvviaicK2tOZvJay4sp</t>
  </si>
  <si>
    <t>I want this scholarship to deepen my knowledge and practical skills in artificial intelligence through structured learning and real projects. The flexibility to choose topics, the hackathon, and the employment conference make this scholarship a valuable opportunity to prepare me for the AI job market and accelerate my career growth.</t>
  </si>
  <si>
    <t>You should accept me because I have a strong technical background in machine learning, data analysis, and AI concepts, along with hands-on experience in real projects. I am highly motivated, committed to continuous learning, and capable of making the most out of this scholarship. I believe I can actively contribute, perform well, and be among the top achievers.</t>
  </si>
  <si>
    <t>I heard about this scholarship through social media and online tech communities.</t>
  </si>
  <si>
    <t>Python Basics, Data Preprocessing, Machine Learning, Deep Learning, MLOps ( using AWS and/or Huwawie Cloud ), NLP &amp; LLMs, Computer Vision, Agentic AI, AI Tools, All AI Topics</t>
  </si>
  <si>
    <t>Mahmoud Hussein</t>
  </si>
  <si>
    <t>01118046189</t>
  </si>
  <si>
    <t>mahmoudhusseinkamell@gmail.com</t>
  </si>
  <si>
    <t>http://linkedin.com/in/mahmoud-hussein-153200247</t>
  </si>
  <si>
    <t>https://drive.google.com/open?id=1yNjEOFLxMOenX2jtex4z8TvOJPhn7kSo</t>
  </si>
  <si>
    <t>I want this scholarship because it will help me learn more about intelligence. This will allow me to understand intelligence better and use it to solve real problems that people face every day.
I really like data science and machine learning. I think artificial intelligence is a way to take data and turn it into decisions that can make a big difference. Artificial intelligence is something that I'm very interested in and I want to learn as much as I can, about it.
This scholarship is really important to me because it is not about the money. It is also a chance to learn new things get guidance from people who know what they are doing and get to know more about advanced Artificial Intelligence ideas that I need to learn to do my job well.
This scholarship aligns directly with my career goals and learning mindset, and it would empower me to grow into a more capable and responsible AI practitioner while creating meaningful impact through technology.</t>
  </si>
  <si>
    <t>You should accept me because I have an understanding of data science and I am really committed to learning and doing things the right way. I have shown that I can learn technical things about machine learning and artificial intelligence very quickly. I did this by working on projects in school and teaching myself things. I always try to do my work and pay close attention to the details. I think data science is important and I want to use it to make a difference in the world. I believe in being responsible and making sure that the things I do, with data science and machine learning and artificial intelligence are good and helpful.
I have skills that go beyond being good with technology. I always want to learn and get better. I take care of my work like it is my own. I ask people what they think of my work I use my time well. I can change what I do when things get tough or move really fast. I want to learn about intelligence and I also want to know how it works and why so I can use it in a good way and get the results I need. Artificial intelligence is important, to me. I want to make sure I use artificial intelligence correctly.
I am also someone who really likes to work with others and share what I know. I talk to my colleagues in a way that makes sense I ask them questions that need to be asked and I help out in a way that's useful to the team. If I get this scholarship I will do my best to make the most of it by taking part in everything doing all the work that is required to a high standard and using what I learn to come up with solutions that are good, for everyone, fair and based on facts. I will use the scholarship to create solutions that're meaningful and I will make sure that these solutions are ethical and based on data.
Accepting me means investing in someone who is disciplined, curious, and determined to turn this opportunity into long-term value—both for the program and the broader AI community.</t>
  </si>
  <si>
    <t xml:space="preserve">Esraa atef hamed </t>
  </si>
  <si>
    <t>01096858046</t>
  </si>
  <si>
    <t>esraaatef1812@gmail.com</t>
  </si>
  <si>
    <t>https://www.linkedin.com/in/esraa-atef-0a1271169?utm_source=share&amp;utm_campaign=share_via&amp;utm_content=profile&amp;utm_medium=android_app</t>
  </si>
  <si>
    <t>https://drive.google.com/open?id=1Xoe1qvp-Tpj9Zp6eacWm0nQAZQzCUGy1</t>
  </si>
  <si>
    <t>My interest in AI isn't just about the technology; it’s about its capacity to act as a force multiplier for social good and as someone has background in computer engineer I see a significant lack of diverse perspectives in the teams building today’s algorithms</t>
  </si>
  <si>
    <t>My track record shows that I am a self-starter.  I don't just start things; I see them through to completion.</t>
  </si>
  <si>
    <t>Data Analysis ( using python ), Introduction to Data Engineering ( Theoratical ), Machine Learning, Deep Learning, MLOps ( using AWS and/or Huwawie Cloud ), NLP &amp; LLMs, Agentic AI, All AI Topics</t>
  </si>
  <si>
    <t xml:space="preserve">Laila Mohammad Abdulaziz </t>
  </si>
  <si>
    <t>01099833565</t>
  </si>
  <si>
    <t>laila.moh.abdulaziz@gmail.com</t>
  </si>
  <si>
    <t>www.linkedin.com/in/laila-mohammad-b1b1b7261</t>
  </si>
  <si>
    <t>https://drive.google.com/open?id=1liTp2C6jarpr6LXFFl8oFBCDFxyiQeW1</t>
  </si>
  <si>
    <t xml:space="preserve">Recently I graduated from BIS with previous knowledge of AI through my college courses and outside courses through coursera and Huawei HCCDA and others and now I'm focusing to enhance my knowledge and gain more hands-on experience through real world projects </t>
  </si>
  <si>
    <t>I'm already have previous knowledge of AI so 
I will be able to understand the content better but I want to enhance my abilities and knowledge through out an intensive program like this.</t>
  </si>
  <si>
    <t>LinkedIn and HCDG</t>
  </si>
  <si>
    <t>Abdulrahman al shennawy</t>
  </si>
  <si>
    <t>https://www.linkedin.com/in/abdotech?utm_source=share&amp;utm_campaign=share_via&amp;utm_content=profile&amp;utm_medium=ios_app</t>
  </si>
  <si>
    <t>https://drive.google.com/open?id=1_3S8m8blNA7-oWsVJw-AJPrgnsyw5031</t>
  </si>
  <si>
    <t>To learn advanced Ai</t>
  </si>
  <si>
    <t xml:space="preserve">Interested in studying and understanding the artificial intelligence </t>
  </si>
  <si>
    <t>ممكن ادفع على مرتين</t>
  </si>
  <si>
    <t>Mohamed Yassin Abdelwahab Yassin</t>
  </si>
  <si>
    <t>01098003224</t>
  </si>
  <si>
    <t>mohamedyassen85@gmail.com</t>
  </si>
  <si>
    <t>https://www.linkedin.com/in/mohamedyassenegypt/</t>
  </si>
  <si>
    <t>https://drive.google.com/open?id=1kw1PJ4u3a8OvNfF9Vq2aYcm6vtXLxmZb</t>
  </si>
  <si>
    <t>I am applying for this scholarship to deepen my expertise in artificial intelligence and machine learning and to translate advanced research into real-world impact. This scholarship represents an opportunity to strengthen my technical depth, collaborate with diverse researchers, and contribute to responsible, high-impact AI solutions that address societal and industry challenges.</t>
  </si>
  <si>
    <t>I have a solid foundation in machine learning, deep learning, and NLP, supported by peer-reviewed publications and applied technical work. I am proficient in Python and experienced in building and evaluating AI models across the full lifecycle from data preparation to deployment considerations.</t>
  </si>
  <si>
    <t>Mathematics, Machine Learning, Deep Learning, MLOps ( using AWS and/or Huwawie Cloud ), NLP &amp; LLMs, Agentic AI, AI Tools</t>
  </si>
  <si>
    <t>momen tarek gaber</t>
  </si>
  <si>
    <t>+201019822648</t>
  </si>
  <si>
    <t>momen2004tarek@gmail.com</t>
  </si>
  <si>
    <t>https://www.linkedin.com/in/momen-tarek2004</t>
  </si>
  <si>
    <t>https://drive.google.com/open?id=1LpkvwE3yMfBnxsROU9vbPahpeNqRiTLN</t>
  </si>
  <si>
    <t>because it offers hands-on experience in my field and a chance to learn from experienced professionals. I am excited to apply and expand my technical skills, work on real projects, and build a strong professional network.</t>
  </si>
  <si>
    <t xml:space="preserve">I learn quickly and adapt to new tools and processes, which helps me stay effective as requirements change. I work well with teams, communicate clearly, and take ownership of tasks until they are completed. </t>
  </si>
  <si>
    <t>social media</t>
  </si>
  <si>
    <t>none</t>
  </si>
  <si>
    <t xml:space="preserve">Saif Eldin Ahmed Mahmoud </t>
  </si>
  <si>
    <t>01027492526</t>
  </si>
  <si>
    <t>saifeldinahmedlearn@gmail.com</t>
  </si>
  <si>
    <t>https://Linkedin.com/in/saif-ahmed-72173a212</t>
  </si>
  <si>
    <t>https://drive.google.com/open?id=1CeDowfgGwUaNbcOb63Aalz7Oj7BQnWyK</t>
  </si>
  <si>
    <t>Iam really interested in ai and its applications machine Learning and data science and this scholarship i think is gonna be an important for me to enhance my knowledge and apply what i learned and will learn in real time projects this is gonna be really important for me and my career</t>
  </si>
  <si>
    <t>First things first thank u so much for the opportunity, i think what can make me suitable candidate that i have knowledge and experience in ai field also applied this through a lot of projects of course i believe there is a lot more to learn specially in that career but i already familiar with python, machine learning, visualization,deep learning, postgresql also i will take advantage of this scholarship to max hoping to advance my career in this field</t>
  </si>
  <si>
    <t>Data Analysis ( using python ), Machine Learning, Deep Learning</t>
  </si>
  <si>
    <t xml:space="preserve">Thank u so much for the opportunity </t>
  </si>
  <si>
    <t xml:space="preserve">Zahraa Ahmed Helmi </t>
  </si>
  <si>
    <t>01158651470</t>
  </si>
  <si>
    <t>zozainstin@gmail.com</t>
  </si>
  <si>
    <t>https://www.linkedin.com/in/zahraa-ahmed-hilaly-9029612a8/</t>
  </si>
  <si>
    <t>https://drive.google.com/open?id=1JSecwq2J3AeObJ1QA-XyBZCZQNqGkDh5</t>
  </si>
  <si>
    <t>to enhance my skills that they are related to ai or any branch related to ai</t>
  </si>
  <si>
    <t>i have no idea but may be because I'm energetic and ambitious person and i seek to improve my skills and do a lot of projects .</t>
  </si>
  <si>
    <t>from linked in</t>
  </si>
  <si>
    <t>NLP &amp; LLMs, Computer Vision, Agentic AI, AI Tools, All AI Topics</t>
  </si>
  <si>
    <t>nothing just can you improve us with mora details about this inership</t>
  </si>
  <si>
    <t>Mohamed Saeed Abdelwahed</t>
  </si>
  <si>
    <t>01206402297</t>
  </si>
  <si>
    <t>mohamedsaid4503@gmail.com</t>
  </si>
  <si>
    <t>https://www.linkedin.com/in/mohamed-saeed-b3bb52222</t>
  </si>
  <si>
    <t>https://drive.google.com/open?id=1n-NE6QiFSC_r5w_2QTpwrMdhUnmo_N9B</t>
  </si>
  <si>
    <t>I want this scholarship because I’m passionate about Artificial Intelligence and eager to deepen my understanding of its applications. This program offers the perfect combination of structured learning and practical experience, especially with the hackathon and career opportunities at the end. I see it as a chance to challenge myself, develop new skills, and contribute to AI projects that can make a real impact.</t>
  </si>
  <si>
    <t>I believe I should be accepted because I have a strong foundation in programming and Machine Learning, coupled with a genuine curiosity for AI. I’m highly motivated, disciplined, and eager to apply what I learn to real world projects. I also enjoy collaborating with others, which I know will be valuable during the hackathon and team based activities of the program.</t>
  </si>
  <si>
    <t>I found out about this scholarship through your LinkedIn while looking for opportunities to advance my AI knowledge.</t>
  </si>
  <si>
    <t>Mathematics, Machine Learning, Deep Learning, MLOps ( using AWS and/or Huwawie Cloud ), NLP &amp; LLMs, Computer Vision, Agentic AI, AI Tools</t>
  </si>
  <si>
    <t xml:space="preserve">Excited to fully commit to the program and explore AI projects and looking forward to the hackathon and learning from industry experts. </t>
  </si>
  <si>
    <t>mohammed elmainekiboub</t>
  </si>
  <si>
    <t>00213778663706</t>
  </si>
  <si>
    <t>mohammedelaminekiboub@gmail.com</t>
  </si>
  <si>
    <t>https://www.linkedin.com/in/kiboub-mohamed/</t>
  </si>
  <si>
    <t>https://drive.google.com/open?id=139P4b4oOvAQLRfUuIIxXhVb32kY3lvsJ</t>
  </si>
  <si>
    <t>This scholarship is essential for me to reducing financial strain and allowing for a stronger focus on academic excellence,and providing the necessary resources to pursue career goals</t>
  </si>
  <si>
    <t>I believe I deserve this scholarship because it will help me achieve my future plans and long-term goals. By furthering my education in IT, I can work towards my career goals in the technincal field. This scholarship will absolutely be the difference-maker when it comes to affording the education I need to do that and give back in the future.</t>
  </si>
  <si>
    <t>nope</t>
  </si>
  <si>
    <t>https://www.linkedin.com/in/ahmed-walid-nito/</t>
  </si>
  <si>
    <t>https://drive.google.com/open?id=1nLzFb_KoN3drm6OlhXsZAVK8YAwMCQrA</t>
  </si>
  <si>
    <t>As a data science student this scholarship would greatly boost my knowledge and skills in machine and deep learning while also introducing new topics I never delved in before like MLOps and NLP that I'm very excited to learn about</t>
  </si>
  <si>
    <t>I have all the fundamentals understood and applied while also working on multiple machine learning projects myself so I wouldn't have a hard time cooperating with my mentors</t>
  </si>
  <si>
    <t>LinkedIn, I follow Eng. Ahmed Hafez</t>
  </si>
  <si>
    <t>I am not sure if I submitted this form before and I forgot or this is a new form but just as a quick note. I was under the guidance and mentorship of Eng. Ahmed Hafez in the EYouth cloud analytics bootcamp and would love to have the same wonderful and insightful experience being under his guidance once again</t>
  </si>
  <si>
    <t xml:space="preserve">Sama Said Mohamed Elfishawy </t>
  </si>
  <si>
    <t>01207244599</t>
  </si>
  <si>
    <t>samaelfishawy580@gmail.com</t>
  </si>
  <si>
    <t>https://www.linkedin.com/in/sama-elfishawy</t>
  </si>
  <si>
    <t>https://drive.google.com/open?id=1bWo2OVNRLlNHIQjhp9ccXI4VRvvo-As4</t>
  </si>
  <si>
    <t>I want this scholarship because I am not just interested in AI as a subject, but as a career path I am seriously preparing for. I am currently studying Robotics Software, and Artificial Intelligence is a core part of the future I want to build for myself. I have already worked on technical projects in programming, algorithms, operating systems, networks, and AI-related coursework, which made me realize how powerful intelligent systems can be when combined with strong software foundations.
What I am missing right now is structured, advanced guidance in real AI topics, especially practical exposure to Machine Learning, Deep Learning, and real-world deployment. This scholarship is a huge opportunity for me to move from academic knowledge to industry-level skills, especially with the cloud, MLOps, and hands-on projects. I see it as a serious step toward becoming an AI/ML engineer in the future.</t>
  </si>
  <si>
    <t>You should accept me because I already have a solid technical foundation and practical experience in both software and AI. I am studying Robotics Software, which combines programming, systems thinking, and intelligent technologies, and I am working to specialize in Artificial Intelligence.
I have completed several university projects, including a Python-based exam system, a Java GUI Courses Management System, an Operating Systems project in C, a Networks project using Cisco Packet Tracer, and a System Analysis and Web Application project.
In AI, I worked on a Machine Learning project where I applied regression, classification, and clustering, which helped me understand how models learn from data and how algorithms differ depending on the task. I also completed a Pattern Recognition project using a Text Transformer model, working with textual data and intelligent representation. In addition, I built a Connect 4 AI game that introduced me to decision-making logic.
I am a committed learner and I take my goals seriously. I am not looking for basic knowledge, but for deeper skills and real challenges in AI. I believe I will benefit from this scholarship and be an active, hardworking participant.</t>
  </si>
  <si>
    <t>I heard about this scholarship through social media and tech communities that share opportunities related to Artificial Intelligence and student development.</t>
  </si>
  <si>
    <t>I am very serious about building my future in AI, and I am ready to put in the effort needed to make the most of this opportunity.</t>
  </si>
  <si>
    <t>Basant Shaker Kasem EL-kelany</t>
  </si>
  <si>
    <t>01097360451</t>
  </si>
  <si>
    <t>memooana55@gmail.com</t>
  </si>
  <si>
    <t xml:space="preserve"> ‏Basant Shakir‏</t>
  </si>
  <si>
    <t>https://drive.google.com/open?id=1u5l4OCaxdWHBvAAwKOCrSxeqnMkoRtPs</t>
  </si>
  <si>
    <t>I am passionate about AI and want to master it from basics to advanced levels (Python, ML, DL, NLP, LLMs, CV, MLOps, Agentic AI). I have some Python and Data Analysis background but need structured, practical training to build real projects and advance my career in Data Science/AI. This scholarship, led by Eng. Ahmed Hafez, offers exactly that — comprehensive coverage and hands-on experience — to help me create impactful AI solutions in Egypt.</t>
  </si>
  <si>
    <t>ou should accept me because I’m genuinely passionate and disciplined about mastering AI.
I’ve already kicked off my journey: learning Python, building data analysis projects, and staying active on LinkedIn and Kaggle — even though I’m in Mansoura where advanced resources aren’t always easy to find.
I dedicate consistent time every day to self-study and practice. I’m excited to dive deep into real projects, engage fully in every session, finish assignments on time, and support my peers along the way.
Accepting me means giving this opportunity to someone who will soak up every bit of knowledge, apply it meaningfully, and give back to the community — whether by sharing what I learn or creating something innovative inspired by the program.
I’ll make you proud to have me in Aitronix</t>
  </si>
  <si>
    <t>Through LinkedIn from Eng. Ahmed Hafez, one of the most inspiring AI instructors in Egypt. His high-quality posts, practical AI content, and clear teaching style motivated me a lot to apply.</t>
  </si>
  <si>
    <t xml:space="preserve">Ali Mohamed Radi </t>
  </si>
  <si>
    <t>01149969030</t>
  </si>
  <si>
    <t>R2DY2005@GMAIL.COM</t>
  </si>
  <si>
    <t>https://www.linkedin.com/in/aly-rady-1b6aba329?utm_source=share&amp;utm_campaign=share_via&amp;utm_content=profile&amp;utm_medium=android_app</t>
  </si>
  <si>
    <t>https://drive.google.com/open?id=1Arklzs5IhSfzCkqRVdjvY7DILWnLOaA-</t>
  </si>
  <si>
    <t xml:space="preserve">I just want it to immerse myself into the community </t>
  </si>
  <si>
    <t xml:space="preserve">Actually idk but i think i have a great passion about AI and i got some potential </t>
  </si>
  <si>
    <t xml:space="preserve">I hope to be accepted </t>
  </si>
  <si>
    <t>Aya Hamdy Mousa Salem</t>
  </si>
  <si>
    <t>01055466389</t>
  </si>
  <si>
    <t>ayahamdy0712@gmail.com</t>
  </si>
  <si>
    <t>https://www.linkedin.com/in/aya-hamdy-28a009267?utm_source=share&amp;utm_campaign=share_via&amp;utm_content=profile&amp;utm_medium=ios_app</t>
  </si>
  <si>
    <t>https://drive.google.com/open?id=1y-GLYUcSkcFgCgGB0KxFIWHhIK532B0N</t>
  </si>
  <si>
    <t xml:space="preserve">To gain more experience in AI field and more knowledge about AI projects in the market </t>
  </si>
  <si>
    <t xml:space="preserve">Because I’m eager to learn, hard worker and have ability to contribute with others to do great work in projects </t>
  </si>
  <si>
    <t>Machine Learning, Deep Learning, MLOps ( using AWS and/or Huwawie Cloud ), NLP &amp; LLMs, Agentic AI, AI Tools, All AI Topics</t>
  </si>
  <si>
    <t xml:space="preserve">Zainab Abdo </t>
  </si>
  <si>
    <t>01032920482</t>
  </si>
  <si>
    <t>abdozainab73@gmail.com</t>
  </si>
  <si>
    <t>https://www.linkedin.com/in/zainab-abdo-65948832a?utm_source=share_via&amp;utm_content=profile&amp;utm_medium=member_android</t>
  </si>
  <si>
    <t>https://drive.google.com/open?id=14c9GmWF99dOZnYcUzCIoW1X8X67KBTpH</t>
  </si>
  <si>
    <t>I am applying for this scholarship because I am deeply interested in Artificial Intelligence and its real-world applications. As a student at the Faculty of Computers and Artificial Intelligence, I have been building my skills in Python, data analysis, and AI through coursework, certifications, and hands-on projects.
This scholarship will give me the opportunity to learn advanced AI concepts from a global technology leader like Huawei and gain practical experience that will help me transform theoretical knowledge into real solutions. I see this program as a critical step in my journey toward becoming a skilled AI professional who can contribute to innovative and impactful projects</t>
  </si>
  <si>
    <t>You should accept me because I am a motivated and disciplined learner with a strong foundation in AI and data analysis. I have completed multiple certifications in Python, SQL, Big Data, and AI, and I continuously apply what I learn through practical project</t>
  </si>
  <si>
    <t>Omar Fares Mohammed</t>
  </si>
  <si>
    <t>01012648879</t>
  </si>
  <si>
    <t>3omar10099@gmail.com</t>
  </si>
  <si>
    <t>www.linkedin.com/in/omar-fares10</t>
  </si>
  <si>
    <t>https://drive.google.com/open?id=15Jjkw9f7TGSnayu4an2e6XGcm6-MQ0MA</t>
  </si>
  <si>
    <t>I'm a Data Analyst aiming to become a Data Scientist &amp; AI Engineer, so I want to gain more experience in ML, DL, and Other AI Topics</t>
  </si>
  <si>
    <t>I am dedicated, hardworking, and eager to learn. I will make the most of this opportunity and contribute positively to the program.</t>
  </si>
  <si>
    <t>Machine Learning, Deep Learning, Computer Vision, Agentic AI</t>
  </si>
  <si>
    <t>I Really need this Scholarship</t>
  </si>
  <si>
    <t>Eman Soliman</t>
  </si>
  <si>
    <t>01099921651</t>
  </si>
  <si>
    <t>slymanmhmk888@gmail.com</t>
  </si>
  <si>
    <t>https://www.linkedin.com/in/eman-soliman-73b32b327?utm_source=share&amp;utm_campaign=share_via&amp;utm_content=profile&amp;utm_medium=android_app</t>
  </si>
  <si>
    <t>https://drive.google.com/open?id=1PiP9m47iLOkj8F-Ioqy9M0M0lg6dbHFN</t>
  </si>
  <si>
    <t>I want this scholarship because it will help me focus on learning and developing my skills without financial pressure. It will give me the opportunity to gain high-quality education and practical experience that I can use to build a successful career. This scholarship is an important step toward achieving my academic and professional goals.</t>
  </si>
  <si>
    <t>You should accept me because I am motivated, hardworking, and eager to learn. I always try to improve myself and make the most of every opportunity. I believe I will benefit greatly from this scholarship and represent it positively through my commitment and dedication.</t>
  </si>
  <si>
    <t>From friend</t>
  </si>
  <si>
    <t>Python Basics, Data Preprocessing, Data Analysis ( using python ), Machine Learning, Deep Learning</t>
  </si>
  <si>
    <t>Mahmoud ahmed</t>
  </si>
  <si>
    <t>01026889007</t>
  </si>
  <si>
    <t>maf.bns@gmail.com</t>
  </si>
  <si>
    <t>https://www.linkedin.com/in/mahmoud-farouk-72737924a?utm_source=share&amp;utm_campaign=share_via&amp;utm_content=profile&amp;utm_medium=ios_app</t>
  </si>
  <si>
    <t>https://drive.google.com/open?id=17D4VAU66pkNwI-hTgz1e0JVXfF2U_jxp</t>
  </si>
  <si>
    <t>To gain more experience and know new information</t>
  </si>
  <si>
    <t>I study artificial intelligence and I see that I will benefit from this course.</t>
  </si>
  <si>
    <t xml:space="preserve">Thank </t>
  </si>
  <si>
    <t xml:space="preserve">Mariam Mansour Albasyouni </t>
  </si>
  <si>
    <t>01008918158</t>
  </si>
  <si>
    <t xml:space="preserve">mariam.mansour1752@gmail.com </t>
  </si>
  <si>
    <t>https://drive.google.com/open?id=1EtBESQkGtdLc7Gk0CPKyAjq0kEZ163M1</t>
  </si>
  <si>
    <t>"I am driven to pursue this scholarship because I believe that Artificial Intelligence is the most powerful tool of our generation to solve complex global challenges. My fascination with AI stems from its potential to transform industries—from healthcare diagnostics to sustainable city planning.
​Receiving this scholarship would provide me with the technical expertise and ethical framework needed to develop AI solutions that are not only innovative but also responsible. I am particularly interested in , and I aim to focus my research on .
​Financial support from this scholarship will allow me to dedicate my full energy to mastering complex algorithms and contributing to open-source AI projects. My ultimate goal is to bridge the gap between theoretical AI research and practical, real-world applications that benefit my community and the global economy</t>
  </si>
  <si>
    <t>You should accept me because I combine a solid academic foundation with a proactive mindset ready to tackle the challenges of Artificial Intelligence. I don’t just view AI as a field of study, but as a medium for problem-solving. Having already developed a background in [ like Python, Math, or Logic], I have shown that I possess the technical discipline required for this rigorous program.
​What sets me apart is my commitment to Ethical AI. In a world where technology moves faster than regulation, I am dedicated to building systems that are transparent and unbiased. Furthermore, I am a collaborator; I look forward to contributing to your research labs and engaging in peer-to-peer knowledge exchange. I am not just looking to receive an education—I am looking to become an active contributor to your institution’s legacy of innovation</t>
  </si>
  <si>
    <t>Mathematics, Deep Learning, Computer Vision, Agentic AI, AI Tools, All AI Topics</t>
  </si>
  <si>
    <t>https://drive.google.com/open?id=1ENXzj0ULz_xYO43Nnh2VljG3wnZJyV6y</t>
  </si>
  <si>
    <t>"I am driven to pursue this scholarship because I believe that Artificial Intelligence is the most powerful tool of our generation to solve complex global challenges. My fascination with AI stems from its potential to transform industries—from healthcare diagnostics to sustainable city planning.
​Receiving this scholarship would provide me with the technical expertise and ethical framework needed to develop AI solutions that are not only innovative but also responsible. I am particularly interested in [, e.g., Machine Learning / Natural Language Processing], and I aim to focus my research on [ e.g., optimizing resource allocation in developing countries].
​Financial support from this scholarship will allow me to dedicate my full energy to mastering complex algorithms and contributing to open-source AI projects. My ultimate goal is to bridge the gap between theoretical AI research and practical, real-world applications that benefit my community and the global economy</t>
  </si>
  <si>
    <t>You should accept me because I combine a solid academic foundation with a proactive mindset ready to tackle the challenges of Artificial Intelligence. I don’t just view AI as a field of study, but as a medium for problem-solving. Having already developed a background in [like Python, Math, or Logic], I have shown that I possess the technical discipline required for this rigorous program.
​What sets me apart is my commitment to Ethical AI. In a world where technology moves faster than regulation, I am dedicated to building systems that are transparent and unbiased. Furthermore, I am a collaborator; I look forward to contributing to your research labs and engaging in peer-to-peer knowledge exchange. I am not just looking to receive an education—I am looking to become an active contributor to your institution’s legacy of innovation</t>
  </si>
  <si>
    <t>Mathematics, Deep Learning, Agentic AI, AI Tools, All AI Topics</t>
  </si>
  <si>
    <t>Youssef Naser Abdo Ahmed</t>
  </si>
  <si>
    <t>01205308146</t>
  </si>
  <si>
    <t>catyousef93@gmail.com</t>
  </si>
  <si>
    <t>https://www.linkedin.com/in/yousefnaserabdo/</t>
  </si>
  <si>
    <t>https://drive.google.com/open?id=1IEX2Qbo9MdO_D8DXSRRoZY9IFuENwFXc</t>
  </si>
  <si>
    <t>أنا مهتم جدًا بمجال الـ AI لأنه حالياً هو بقى من أهم مجالات المستقبل سواء في الشغل أو البحث العلمي وبصراحة المنحة دي هتساعدني أتعلم بشكل أعمق وأطور مهاراتي العملية في الـ AI وان أنا أبني Models وده هيفيدني جدًا في رحلتي الأكاديمية خصوصًا في الأبحاث ورسالة الماجستير وكمان الهاكاثون والمؤتمر الوظيفي فرصة قوية إني أطبّق اللي اتعلمته على أرض الواقع وأتواصل مع ناس في المجال وأبدأ مشواري بشكل احترافي.</t>
  </si>
  <si>
    <t>أنا شخص عندي شغف حقيقي بالتعلم والتطوير المستمر دايماً وعندي خلفية كويسة في التكنولوجيا والبرمجة وتحليل البيانات وحابب أنى أدخل وأدرس حاليًا في الـ AI معاكوا فى المنحة. 
دايمًا بحب أطبّق اللي بتعلمه في مشاريع عملية وهدفي إني أبني Models قوية تحل مشاكل حقيقية. 
كمان أنا ملتزم ومنظم وبعرف أشتغل ضمن فريق وبشارك بفعالية في أي هاكاثون وشاركت قبل كدا فى هاكثون الباشمهندس أحمد على  وده يخليني أكون إضافة كويسة ومفيدة للمنحة وان شاء الله أتقبل معاكم.</t>
  </si>
  <si>
    <t>عرفت عن المنحة من خلال LinkedIn</t>
  </si>
  <si>
    <t>أنا حابب جدًا جداً أكون جزء من المنحة وإن شاء الله أتقبل وأكون معاكم وأتطور في مجال الـ AI.</t>
  </si>
  <si>
    <t xml:space="preserve">Mohamed Ahmed Elkok </t>
  </si>
  <si>
    <t>01007508143</t>
  </si>
  <si>
    <t>mohamedalkok339@gmail.com</t>
  </si>
  <si>
    <t>https://www.linkedin.com/in/mohamed-elkok-2372b4313?utm_source=share&amp;utm_campaign=share_via&amp;utm_content=profile&amp;utm_medium=android_app</t>
  </si>
  <si>
    <t>https://drive.google.com/open?id=1HXBiph8AX31vt5puGLWYUaCk9HwY_1yt</t>
  </si>
  <si>
    <t>Because I love Engineer Ahmed Hafez😂</t>
  </si>
  <si>
    <t>Because I am taking courses in this field and I would like to develop myself in it</t>
  </si>
  <si>
    <t>Mathematics, Data Preprocessing, Data Analysis ( using python ), Machine Learning, Deep Learning, NLP &amp; LLMs, Computer Vision, Agentic AI</t>
  </si>
  <si>
    <t>Nooooo</t>
  </si>
  <si>
    <t xml:space="preserve">Menna Mohamed </t>
  </si>
  <si>
    <t>01284480622</t>
  </si>
  <si>
    <t>menna.8762004@gmail.com</t>
  </si>
  <si>
    <t>https://www.linkedin.com/in/menna-mohamed-020250265?utm_source=share&amp;utm_campaign=share_via&amp;utm_content=profile&amp;utm_medium=ios_app</t>
  </si>
  <si>
    <t>https://drive.google.com/open?id=1A-3ymNT2cv_3ygo1jOOi5EyVNr8_5l2w</t>
  </si>
  <si>
    <t>I am applying for this scholarship because it represents a valuable opportunity to deepen my knowledge, strengthen my practical skills, and grow both academically and professionally. This scholarship will allow me to focus on learning without financial pressure, gain exposure to high-quality training, and develop the skills needed to contribute meaningfully to real-world projects. I believe it will be a crucial step toward achieving my long-term career goals.</t>
  </si>
  <si>
    <t>You should accept me because I am highly motivated, disciplined, and genuinely committed to learning and self-improvement. I have a strong academic background, a passion for technology and problem-solving, and I consistently put effort into applying what I learn through practice and projects. I am proactive, responsible, and eager to make the most of this opportunity while positively representing the scholarship program.</t>
  </si>
  <si>
    <t>Nourhan Osama</t>
  </si>
  <si>
    <t>01112954301</t>
  </si>
  <si>
    <t>nourhanosamaabd88@gmail.com</t>
  </si>
  <si>
    <t>https://www.linkedin.com/in/nourhan-osama-7bb831295/?locale=ar_AE</t>
  </si>
  <si>
    <t>https://drive.google.com/open?id=1Bhwilj58LpiuLeppTMX3uK3uanQ653rN</t>
  </si>
  <si>
    <t>I want to join this scholarship to build a strong and structured foundation in Artificial Intelligence and Data Science. I have already started my journey in this field through courses and self-learning, and I am looking for a program that combines theoretical understanding with hands-on practice, real projects, and industry exposure. This scholarship aligns perfectly with my career goal of becoming a skilled Data Scientist and AI Engineer.</t>
  </si>
  <si>
    <t>because I am highly motivated, disciplined, and committed to continuous learning. I have a solid background in computer science and data science fundamentals, and I actively apply what I learn through projects. I take learning seriously, manage my time well, and aim to get the maximum benefit from any opportunity. I am confident that I will be an active participant and a strong contributor throughout the scholarship.</t>
  </si>
  <si>
    <t>I am fully committed to completing the scholarship requirements, participating in the hackathon, and attending the employment conference. I am eager to learn, apply my knowledge in real-world projects, and grow professionally through this opportunity.</t>
  </si>
  <si>
    <t>Hazem Elrefaie Abdullah Solieman</t>
  </si>
  <si>
    <t>01551358999</t>
  </si>
  <si>
    <t>zoma.elrefaie333@gmail.com</t>
  </si>
  <si>
    <t>https://www.linkedin.com/in/hazem-elrefaie-226653204/</t>
  </si>
  <si>
    <t>https://drive.google.com/open?id=1S5DH022M2er6wVXVZwgJUOvXDRqoi5j0</t>
  </si>
  <si>
    <t>On a Sunday Morning I went to college and a classmate showed me a project of his which was about identifying Sign Language. I was actually impressed but I knew because I am a computer science student that the science and tech behind it would seem less like magic and more like problem solving. I learned from the beginning, I learned what is a neural network and took HCIA-AI V4.0 Course. i would like to continue learning and do more projects and eventually get employed in this field</t>
  </si>
  <si>
    <t>You should accept me because I approach AI as a complete system, not just isolated models. I have a solid foundation in Python, and data workflows, and I am actively building skills in data engineering and machine learning, which aligns well with advanced topics such as MLOps, computer vision, NLP, agentic AI, and large language models.
I understand that real-world AI requires more than training models, it requires reliable pipelines, deployment, monitoring, and iteration. This is why I am particularly interested in MLOps and end-to-end AI workflows. 
I am disciplined, consistent, and committed to learning deeply, and I am confident this program will help me translate theory into real, production-ready AI systems.</t>
  </si>
  <si>
    <t>Machine Learning, Deep Learning, MLOps ( using AWS and/or Huwawie Cloud ), Computer Vision, Agentic AI</t>
  </si>
  <si>
    <t>Thank You</t>
  </si>
  <si>
    <t>Shahd ayman kamal sobh</t>
  </si>
  <si>
    <t>01060363630</t>
  </si>
  <si>
    <t>shahdaymankamal@gmail.com</t>
  </si>
  <si>
    <t>https://www.linkedin.com/in/shahd-ayman-37466531a?utm_source=share_via&amp;utm_content=profile&amp;utm_medium=member_android</t>
  </si>
  <si>
    <t>https://drive.google.com/open?id=1Pg6Pl5ZXooQZq270fIV53_8kJMS4zw3k</t>
  </si>
  <si>
    <t xml:space="preserve">To learn and have experience </t>
  </si>
  <si>
    <t>I have Passion for learning</t>
  </si>
  <si>
    <t>Python Basics, Data Preprocessing, Machine Learning, Deep Learning, NLP &amp; LLMs, Computer Vision, AI Tools, All AI Topics</t>
  </si>
  <si>
    <t xml:space="preserve">Shaimaa Abdelshafy </t>
  </si>
  <si>
    <t>01125244313</t>
  </si>
  <si>
    <t>shaimaaabdelshafy99@gmail.com</t>
  </si>
  <si>
    <t>https://www.linkedin.com/in/shaimaa-abdelshafy/</t>
  </si>
  <si>
    <t>https://drive.google.com/open?id=1s0MrqmfGrbkvZaONLP9LvpYLE8_YcFYt</t>
  </si>
  <si>
    <t>I want this scholarship to gain practical knowledge in artificial intelligence and develop skills that are essential for my future career. The program’s structure, hands-on learning, and hackathon make it a great opportunity for real-world experience.</t>
  </si>
  <si>
    <t>You should accept me because I am motivated, committed, and ready to learn. I am willing to put in the effort required to successfully complete the program and actively participate in all its activities.</t>
  </si>
  <si>
    <t>Deep Learning, AI Tools</t>
  </si>
  <si>
    <t xml:space="preserve">Ahmed Elkahky </t>
  </si>
  <si>
    <t>01008721889</t>
  </si>
  <si>
    <t>ahmedelkahky42@gmail.com</t>
  </si>
  <si>
    <t>https://www.linkedin.com/in/ahmed-elkahky?utm_source=share&amp;utm_campaign=share_via&amp;utm_content=profile&amp;utm_medium=android_app</t>
  </si>
  <si>
    <t>https://drive.google.com/open?id=1Iizu_ta3n5hF19gFC6ZMgrq0RCsFbDJr</t>
  </si>
  <si>
    <t>I want this scholarship to improve my skills, gain hands-on experience, and build a strong portfolio. It will help me grow professionally and prepare for a career in the tech industry. I am motivated to learn and fully benefit from this opportunity.</t>
  </si>
  <si>
    <t>You should accept me because I am dedicated, hardworking, and eager to learn. I am actively developing my technical skills and building projects, and I am committed to making the most of this opportunity and turning it into real career growth.</t>
  </si>
  <si>
    <t>MLOps ( using AWS and/or Huwawie Cloud ), All AI Topics</t>
  </si>
  <si>
    <t>Abdelrahman Ahmed Samir Mohammad</t>
  </si>
  <si>
    <t>01021954653</t>
  </si>
  <si>
    <t>akhteebabdo@gmail.com</t>
  </si>
  <si>
    <t>https://www.linkedin.com/in/abdelrahman-ahmed-el-khatib</t>
  </si>
  <si>
    <t>https://drive.google.com/open?id=1FarYOlgpqsUb9ZSqXmQ1HNFUSe6bkClE</t>
  </si>
  <si>
    <t>As an AI student, I always love to learn and explore new topics and concepts in AI. Moreover, I 
will be able to use what I've learned in the Hackathon. This scholarship would give me the opportunity to learn and get more experience with NLP, LLM, Computer Vision, and Agentic AI.</t>
  </si>
  <si>
    <t>As a 3rd year undergraduate, I have a good experience in AI and ML, while maintaining high rank and gpa in my university. Showing my curiosity for AI and consistency in learning.</t>
  </si>
  <si>
    <t>My friend recommended the scholarship</t>
  </si>
  <si>
    <t>I want more details on the Hackathon, to start applying while learning in the scholarship.</t>
  </si>
  <si>
    <t xml:space="preserve">Youssef Ramadan </t>
  </si>
  <si>
    <t>01099635742</t>
  </si>
  <si>
    <t>yr21102004@gmail.com</t>
  </si>
  <si>
    <t>https://www.linkedin.com/in/youssef-ramadan-yr-b120483a1?utm_source=share&amp;utm_campaign=share_via&amp;utm_content=profile&amp;utm_medium=android_app</t>
  </si>
  <si>
    <t>https://drive.google.com/open?id=1zdjZnFCdXScaP1CMWyXLFMyTcXYVu1AT</t>
  </si>
  <si>
    <t xml:space="preserve"> would like to receive this grant because I am interested in developing my knowledge and skills in the field of artificial intelligence, given its increasing role in various sectors. This grant will enable me to access high-quality training content, enhance my professional capabilities, and later contribute to the implementation of responsible and beneficial artificial intelligence solutions in my field.</t>
  </si>
  <si>
    <t>I should be accepted because I have a strong motivation to learn and develop in the field of artificial intelligence, and I am willing to make the effort and make the most of this scholarship. I aspire to apply what I learn in a responsible manner that serves my work and my community, and I am committed to positive participation and contributing to the learning environment.</t>
  </si>
  <si>
    <t>Python Basics, Mathematics, Data Preprocessing, Machine Learning, Deep Learning, MLOps ( using AWS and/or Huwawie Cloud ), Agentic AI, AI Tools, All AI Topics</t>
  </si>
  <si>
    <t>I look forward to making the most of this educational opportunity and contributing to the dissemination of knowledge related to artificial intelligence and its ethical and responsible use.</t>
  </si>
  <si>
    <t>Mohamed Wael Mohamed Elsayed</t>
  </si>
  <si>
    <t>01018575140</t>
  </si>
  <si>
    <t>mohamedmohamedwael924@gmail.com</t>
  </si>
  <si>
    <t>linkedin.com/in/mohamed-wael-mohamed-9772803a4</t>
  </si>
  <si>
    <t>https://drive.google.com/open?id=1aQQsNe9LlRUvSDS3PYE3IPJkjyQLF39B</t>
  </si>
  <si>
    <t>i heard about your scholarship and it is very good</t>
  </si>
  <si>
    <t xml:space="preserve">because i need this scholarship </t>
  </si>
  <si>
    <t>linkedin profile</t>
  </si>
  <si>
    <t>i hope to agree to my application</t>
  </si>
  <si>
    <t xml:space="preserve">Nusiba Rabee Abdullah khalf </t>
  </si>
  <si>
    <t>01276237338</t>
  </si>
  <si>
    <t>nusibarabee@gmail.com</t>
  </si>
  <si>
    <t xml:space="preserve">Nusiba Rabee </t>
  </si>
  <si>
    <t>https://drive.google.com/open?id=1U1_lkxQTP0vHBdbMlefozusHSOlzb8sx</t>
  </si>
  <si>
    <t xml:space="preserve">I need take experience </t>
  </si>
  <si>
    <t>لاني اريد ان اتعلم ومتحمسه جدا للانضمام اليكم</t>
  </si>
  <si>
    <t>Introduction to Data Engineering ( Theoratical ), Deep Learning, MLOps ( using AWS and/or Huwawie Cloud ), NLP &amp; LLMs, Computer Vision, Agentic AI, AI Tools, All AI Topics</t>
  </si>
  <si>
    <t>Abdallah Tarek</t>
  </si>
  <si>
    <t>https://drive.google.com/open?id=1g4vDuLllorh9EGZpXDBxYgIuogsvso2z</t>
  </si>
  <si>
    <t>I want to learn AI, deepen my knowledge in the field, and expand it through projects and real-world problem-solving in AI.</t>
  </si>
  <si>
    <t>You should accept me because I will work hard in the course and never miss a lesson.</t>
  </si>
  <si>
    <t xml:space="preserve">Noaman Sami Noaman </t>
  </si>
  <si>
    <t>01065353578</t>
  </si>
  <si>
    <t>saminoaman367@gmail.com</t>
  </si>
  <si>
    <t>https://www.linkedin.com/in/noaman-sami?utm_source=share&amp;utm_campaign=share_via&amp;utm_content=profile&amp;utm_medium=android_app</t>
  </si>
  <si>
    <t>https://drive.google.com/open?id=1HtExhvqHqSklhHdsdRj13W9aopJF4hap</t>
  </si>
  <si>
    <t>I want this scholarship because I am passionate about Artificial Intelligence and its impact on the future. It will help me strengthen my technical skills, gain practical experience, and move closer to my goal of becoming a skilled AI professional.</t>
  </si>
  <si>
    <t>I am a committed and passionate learner in Artificial Intelligence. I have already built a strong foundation in programming and data analysis, and I am eager to learn and work hard. I believe I will make the most of this opportunity and represent the program with dedication and excellence</t>
  </si>
  <si>
    <t>I heard about you through LinkedIn</t>
  </si>
  <si>
    <t>Introduction to Data Engineering ( Theoratical ), Machine Learning, Deep Learning, MLOps ( using AWS and/or Huwawie Cloud ), NLP &amp; LLMs, Computer Vision, Agentic AI, AI Tools</t>
  </si>
  <si>
    <t>Fatima farouk</t>
  </si>
  <si>
    <t>01065106742</t>
  </si>
  <si>
    <t>fatimafarouk567@gmail.com</t>
  </si>
  <si>
    <t>www.linkedin.com/in/fatima-farouk390</t>
  </si>
  <si>
    <t>https://drive.google.com/open?id=1adjpHefFXX6b8Ku_at2KJtfvNaK9dbD6</t>
  </si>
  <si>
    <t>To  get ajob</t>
  </si>
  <si>
    <t>I can continue because I graduated and I have time to study hard and get a job and "I am a strong candidate for this scholarship because my Engineering degree has equipped me with the analytical and coding skills necessary for AI. I have the technical readiness to master the course material and the dedication to apply it effectively."</t>
  </si>
  <si>
    <t>From Facebook eng Ahmed hafez page</t>
  </si>
  <si>
    <t>i hope to be granted this opportunity.</t>
  </si>
  <si>
    <t>Mohammed Mokhtar Ali Mohammed</t>
  </si>
  <si>
    <t>01100258023</t>
  </si>
  <si>
    <t>mohammed.mokhtar.datasci.ai@gmail.com</t>
  </si>
  <si>
    <t>www.linkedin.com/in/mohammed-mokhtar-26668432b</t>
  </si>
  <si>
    <t>https://drive.google.com/open?id=1Aj__zLkhyDTRBYAAmsV6cRaGupQ-zyj2</t>
  </si>
  <si>
    <t>To Improve More and more</t>
  </si>
  <si>
    <t xml:space="preserve"> because I am committed, hardworking, and determined to succeed. I consistently strive for excellence in my studies and personal development, and I am motivated to use this opportunity to grow and contribute positively to my field and community.</t>
  </si>
  <si>
    <t xml:space="preserve">Mohammed Salah Mohammed </t>
  </si>
  <si>
    <t>mohammedsalahemam0011@gmail.com</t>
  </si>
  <si>
    <t>www.linkedin.com/in/mohammed-01-salah</t>
  </si>
  <si>
    <t>https://drive.google.com/open?id=1iKy6WBqRZeiFirxiD_UGZv0_TbFd-2la</t>
  </si>
  <si>
    <t xml:space="preserve">انا بدرس Data Science في الكلية وحاليا بتخصص مع نفسي  في جزء Data Analyst and Engineering
عايز المنحه عشان فعلا اطور من مستوايا واكون فعلا مؤهل لسوق العمل بما اني في سنة 3 دلوقتي 
غير اني احيانا بكون مشتت ومش عارف اسئل منتور معين اقدر اتابع معاه او حتى اني يكون عندي خطه واضحه امشي عليها من كثرة المصادر واخيرا اني فعلا اكون وسط كومينتي قوي ده مهم جدا ساعتها مش بس هشوف نفسي لكن هبدء اشوف مهارت ناس تانيه عندها نفس اهدافي وده حاجه مهم بالنسبة ليا جدا  </t>
  </si>
  <si>
    <t xml:space="preserve"> انا في سنة 3 مجال دراستي ليه علاقة كبيرة بمحتوى المنحه ف حاسس ان ده هيكون ليه فايده كبيره ليا 
بحب جدا شغل الجماعي واني اشتغل مع تيمات وفعل نوصل لحلول  وبحب جدا اشتغل على حاجات جديده وبالاضافه ان وجود اشخاص مجالهم فعلا ليه علاقة بالمحتوى ده هيكون ليه فايده ليا وتطوير كبير لمهارتي سواء tech or non tech 
وفعلا حسب المحتوى ان شاء الله اكون ملم بكل المتطلبات خصوصا ان السوق بقى صعب جدا ومحتاج شخص يكون عنده معرفه كبيرة مش بس في مجاله 
وان شاء الله تكون فرصة كويسة ليا اني فعلا اكون مؤهل لسوق العمل وواستفاد من المحتوى والانستراكتور  ومتحمس اني هكون معاكم باذن الله</t>
  </si>
  <si>
    <t xml:space="preserve">فيسبوك ومن بشمهندس احمد حافظ </t>
  </si>
  <si>
    <t xml:space="preserve">ان شاء الله تكون فرصة كويسة ليا ومبسوط جدا فعلا اني هكون معاكم باذن الله </t>
  </si>
  <si>
    <t>Mohamed yosry mohamed Mohamed</t>
  </si>
  <si>
    <t>01025857243</t>
  </si>
  <si>
    <t>mohamedmohamed210710@gmail.com</t>
  </si>
  <si>
    <t>https://www.linkedin.com/in/mohamed-yosry-2958a6234?utm_source=share&amp;utm_campaign=share_via&amp;utm_content=profile&amp;utm_medium=android_app</t>
  </si>
  <si>
    <t>https://drive.google.com/open?id=1trmF7u75EBmTZTVBSapP7bOfQrwsRPEs</t>
  </si>
  <si>
    <t>Because I feel I've made good progress in the field, but what's always holding me back is that I need guidance, content organization, and roadmap organization.</t>
  </si>
  <si>
    <t xml:space="preserve">For the same reason that I need this Scholarship In addition, I really love this field and I'm very excited to be part of it, and it's natural for me to have a human instinct to study with the goal of earning a high salary in the future. </t>
  </si>
  <si>
    <t xml:space="preserve">وسائل التواصل الاجتماعي </t>
  </si>
  <si>
    <t>Python Basics, Data Preprocessing, Data Analysis ( using python ), Machine Learning, Deep Learning, MLOps ( using AWS and/or Huwawie Cloud ), All AI Topics</t>
  </si>
  <si>
    <t xml:space="preserve">Malak Abdelkader Ali Ahmed Ali </t>
  </si>
  <si>
    <t>01023250355</t>
  </si>
  <si>
    <t>01023250355a@gmail.com</t>
  </si>
  <si>
    <t>https://www.linkedin.com/in/malk-abdelkader-745a53317?utm_source=share&amp;utm_campaign=share_via&amp;utm_content=profile&amp;utm_medium=android_app</t>
  </si>
  <si>
    <t>https://drive.google.com/open?id=1E6Pg3LuwNoj8ict0p-uz6xzT9uL_0OWe</t>
  </si>
  <si>
    <t>I want this scholarship to build strong skills in AI and technology. It will help me improve my knowledge and prepare me for a future career in this field.</t>
  </si>
  <si>
    <t>I am motivated, committed to learning, and eager to develop my skills. I take my responsibilities seriously and always try to make the most of learning opportunities.</t>
  </si>
  <si>
    <t>I heard about this scholarship through social media and online communities.</t>
  </si>
  <si>
    <t>I prefer detailed explanations with simple examples to better understand the concepts.</t>
  </si>
  <si>
    <t xml:space="preserve">Ahmed Hussain Ahmed </t>
  </si>
  <si>
    <t>01120579517</t>
  </si>
  <si>
    <t>ahmeddy569@gmail.com</t>
  </si>
  <si>
    <t>https://www.linkedin.com/in/ahmed-hussein-10a525366</t>
  </si>
  <si>
    <t>https://drive.google.com/open?id=1VW_MSVb6UTUERfuvo_XQxH87CheEDWRc</t>
  </si>
  <si>
    <t>I am applying for this scholarship because I am highly motivated to develop my skills and gain practical knowledge that will help me grow both academically and professionally. This opportunity represents more than financial support to me; it is a chance to learn from experienced mentors, work in a competitive environment, and push myself beyond my limits. I believe this scholarship will help me build a strong foundation for my future career and allow me to create a real impact in my field.</t>
  </si>
  <si>
    <t>You should accept me because I am dedicated, hardworking, and eager to learn. I do not settle for average results; I always strive to improve myself and deliver high-quality work. I am adaptable, responsible, and capable of working both independently and within a team. I am confident that I will represent your program positively and make the most out of this opportunity.</t>
  </si>
  <si>
    <t>I heard about this scholarship through social media and online academic communities. It was recommended by colleagues who spoke highly of the program and its impact on students.</t>
  </si>
  <si>
    <t xml:space="preserve">Omar Ezzat Ali Afifi </t>
  </si>
  <si>
    <t>+201064368781</t>
  </si>
  <si>
    <t>omarezzatali38@gmail.com</t>
  </si>
  <si>
    <t>https://www.linkedin.com/in/omar-ezzat-ali-03b70628b</t>
  </si>
  <si>
    <t>https://drive.google.com/open?id=1QG1iHe1s6EwoiTWMTvHSE65tOzgOElEf</t>
  </si>
  <si>
    <t>I know Eng. Ahmed Hafez for a long time, and I already got AI course with him before . I learned a lot from him and want to learn any new from him.</t>
  </si>
  <si>
    <t>Hope that I will fit the conditions.</t>
  </si>
  <si>
    <t>Like I said I already know Eng. Ahmed Hafez and I followed him .</t>
  </si>
  <si>
    <t>Paula Samy Philip</t>
  </si>
  <si>
    <t>01289562111</t>
  </si>
  <si>
    <t>paulasamy52@gmail.com</t>
  </si>
  <si>
    <t>https://www.linkedin.com/in/paula-samy-5097a2266/</t>
  </si>
  <si>
    <t>https://drive.google.com/open?id=1Qsmuy64glWeILLuDsz69KNrECDkCHpO9</t>
  </si>
  <si>
    <t>I am a Full Stack Developer with a growing interest in Artificial Intelligence and Machine Learning. I am motivated to learn how intelligent systems are built and how data can be used to create impactful, real-world solutions. My aim is to combine my software development experience with AI technologies to build smarter and more efficient applications.</t>
  </si>
  <si>
    <t>I believe you should accept me because I am a hardworking and committed person. I always make sure to complete any task or responsibility assigned to me with the highest level of quality. I am passionate about learning and continuously improving my skills.</t>
  </si>
  <si>
    <t xml:space="preserve">From my friends </t>
  </si>
  <si>
    <t>Python Basics, Mathematics, Data Preprocessing, Data Analysis ( using python ), Machine Learning, Deep Learning, NLP &amp; LLMs, Computer Vision, AI Tools</t>
  </si>
  <si>
    <t>Hager abass</t>
  </si>
  <si>
    <t>01152416190</t>
  </si>
  <si>
    <t>Acc.hagerabass@gmail.com</t>
  </si>
  <si>
    <t>https://www.linkedin.com/in/hager-abass-2b6756134?utm_source=share&amp;utm_campaign=share_via&amp;utm_content=profile&amp;utm_medium=android_app</t>
  </si>
  <si>
    <t>https://drive.google.com/open?id=1Ay-Naqq3M1M71DGbWot1gp5_g0vZ_QJm</t>
  </si>
  <si>
    <t>am applying for this AI Scholarship because I want to transition into the field of Artificial Intelligence and Data-driven decision making, combining it with my background in Business Administration and Human Resources.
Through my experience in Hr Irealized how much organizations struggle with making objective data-based decisions in recruitment, performance evaluation, and workforce planning. I became deeply interested in how AI can transform these processes by reducing bias improving efficiency and enhancing strategic planning.
Although my academic background is not in computer science I have been actively learning data-related skills and exploring fields like data engineering and machine learning. This scholarship represents a critical step for me to gain structured, high-quality knowledge in AI and apply it in real-world business and HR contexts.
My goal is to become a professional who bridges the gap between business strategy and AI technology, especially in emerging markets where AI adoption is still developing. I am highly motivated, disciplined, and ready to dedicate the time and effort needed to succeed in this program.</t>
  </si>
  <si>
    <t xml:space="preserve">
With my experience in Business and Hr       Iunderstand real organizational challenges and see how AI can create meaningful impact. Iam motivated, disciplined and eager to apply AI knowledge to solve practical problems and drive results</t>
  </si>
  <si>
    <t xml:space="preserve">Youssef Ramadan Mohammed </t>
  </si>
  <si>
    <t>https://drive.google.com/open?id=1b-bTnyu61aHNhDQbt7imtgwYhI9M09rt</t>
  </si>
  <si>
    <t xml:space="preserve">For development in the field of artificial intelligence and machine learning </t>
  </si>
  <si>
    <t>Because I am passionate about education and development, and I have already started on the track.</t>
  </si>
  <si>
    <t>Mathematics, Data Preprocessing, Data Analysis ( using python ), Introduction to Data Engineering ( Theoratical ), Machine Learning, MLOps ( using AWS and/or Huwawie Cloud ), Computer Vision, Agentic AI, AI Tools, All AI Topics</t>
  </si>
  <si>
    <t>I hope I will be accepted</t>
  </si>
  <si>
    <t>Ahmed Zayed</t>
  </si>
  <si>
    <t>01067029314</t>
  </si>
  <si>
    <t>bahmd5856@gmail.com</t>
  </si>
  <si>
    <t>https://www.linkedin.com/in/ahmed-zayed-54b39b211/</t>
  </si>
  <si>
    <t>https://drive.google.com/open?id=1s9_MPQJSatWeFM4l543kmhmHgPdKzEZs</t>
  </si>
  <si>
    <t>I want this scholarship because it fits my current stage in AI engineering. I have a solid foundation in machine learning and computer vision, but I struggle with the lack of structure and the overwhelming number of scattered resources.I am looking for a well organized program that focuses on advanced, real-world topics.</t>
  </si>
  <si>
    <t>I believe I’m a good fit for this scholarship because I already have a strong base in machine learning and computer vision, and I’m motivated to grow into a professional AI engineer. I’ve completed more than one program with NTI, which reflects my commitment and ability to stay consistent and finish what I start. I actively work on improving my skills through projects and continuous learning, and I’m confident I would fully benefit from this scholarship and be an engaged, dedicated participant.</t>
  </si>
  <si>
    <t>linkedin posts.</t>
  </si>
  <si>
    <t>Data Preprocessing, Introduction to Data Engineering ( Theoratical ), Deep Learning, MLOps ( using AWS and/or Huwawie Cloud ), NLP &amp; LLMs, Computer Vision, Agentic AI, AI Tools</t>
  </si>
  <si>
    <t xml:space="preserve"> Bassim nabil mansour</t>
  </si>
  <si>
    <t>01550403442</t>
  </si>
  <si>
    <t>basimnabilmansour@gmail.com</t>
  </si>
  <si>
    <t>www.linkedin.com/in/bassim-nabil-53b57b328</t>
  </si>
  <si>
    <t>https://drive.google.com/open?id=1ppk_4Ccq_PBCEooy_uTe2Y-9NCawTb04</t>
  </si>
  <si>
    <t xml:space="preserve">i want to upgrade my skills and knowleage in AI feild </t>
  </si>
  <si>
    <t xml:space="preserve">I have gained a good skills in data analysis and data science and machine learning </t>
  </si>
  <si>
    <t>AI and data science course with AITRONIX</t>
  </si>
  <si>
    <t>Mathematics, Data Preprocessing, Data Analysis ( using python ), Introduction to Data Engineering ( Theoratical ), Machine Learning, Deep Learning, NLP &amp; LLMs, AI Tools</t>
  </si>
  <si>
    <t>NO</t>
  </si>
  <si>
    <t>https://drive.google.com/open?id=1n9TD_iOa4Ok28tTH-ulwX9_2quiOsk3n</t>
  </si>
  <si>
    <t>I'm interested in AI and ans how it is impacting everything in our lives now. And as it is needed in the market nowadays I'm seeking to learn more and more about AI and it's technologies.this scholarship will give me the learning and the community I want to accelerate my knowledge and the needed experience on real world projects.</t>
  </si>
  <si>
    <t xml:space="preserve">I'm really motivated about AI and learning new technologies and apply my knowledge to real progects. I'm curious and respectful for programs I enter </t>
  </si>
  <si>
    <t xml:space="preserve">Through LinkedIn </t>
  </si>
  <si>
    <t xml:space="preserve">Kerollos karam Abdullah zekery </t>
  </si>
  <si>
    <t>01228581198</t>
  </si>
  <si>
    <t>kerokaram2022@gmail.com</t>
  </si>
  <si>
    <t>https://www.linkedin.com/in/kerollos-karam?utm_source=share&amp;utm_campaign=share_via&amp;utm_content=profile&amp;utm_medium=android_app</t>
  </si>
  <si>
    <t>https://drive.google.com/open?id=1CADPuvTI55G3noItHumJSElunUiBSmRX</t>
  </si>
  <si>
    <t>I want to join this scholarship because it offers a structured and practical path to learn Artificial Intelligence, which aligns perfectly with my academic background and career goals. I am deeply interested in AI, especially in building real-world solutions and models from scratch, not just using prebuilt tools.
This scholarship gives me the opportunity to learn from industry-oriented content, participate in hands-on projects, and collaborate with like-minded learners, which will significantly accelerate my growth and prepare me for the job market.</t>
  </si>
  <si>
    <t>You should accept me because I am highly motivated, disciplined, and genuinely committed to learning Artificial Intelligence. I don’t see this scholarship as just a certificate, but as a chance to build strong technical skills and a professional profile.
I have experience in self-learning and working on technical projects, and I am always eager to apply what I learn practically. I am also consistent, able to work in teams, and willing to put in the effort required to stand out and deliver real value during the program and its final hackathon.</t>
  </si>
  <si>
    <t xml:space="preserve">Amr Hussain Kamal Ahmad </t>
  </si>
  <si>
    <t>01006546843</t>
  </si>
  <si>
    <t>amrwww6@gmail.com</t>
  </si>
  <si>
    <t>https://drive.google.com/open?id=1Aj5uLcfW09MpCMD-ftWhz3awLvQ3E21Y</t>
  </si>
  <si>
    <t xml:space="preserve">لتطوير مهاراتي العملية و التطبيقية في مجال تخصصي الجامعي والتأهيل لسوق العمل </t>
  </si>
  <si>
    <t>لإني أسعي لتطوير مهاراتي وملتزم أن وجد الفرصة وتحويل ما أتعلمه إلى تأثير حقيقي ونتائج ملموسة.</t>
  </si>
  <si>
    <t>Ahmed Hafse</t>
  </si>
  <si>
    <t xml:space="preserve">aya eid salah </t>
  </si>
  <si>
    <t>01149451741</t>
  </si>
  <si>
    <t>ayaeiiidsalah24@gmail.com</t>
  </si>
  <si>
    <t>https://www.linkedin.com/in/aya-eid-3824312a2/</t>
  </si>
  <si>
    <t>https://drive.google.com/open?id=1tCqRR2Zmn8HaDN2L10u11RwPbOXz-VD8</t>
  </si>
  <si>
    <t>I am applying for this scholarship because I have a strong passion for Artificial Intelligence and I am very eager to learn it deeply , I plan to use the knowledge I gain to build my graduation project using AI technologies.
I am also excited about the competitive environment, especially the hackathon and final competition, as I enjoy challenging myself and working in dynamic settings. The flexible schedule of the program also makes it a great fit for me.
really , I am highly motivated and ready to fully commit to this opportunity</t>
  </si>
  <si>
    <t>You should accept me because I am passionate, committed, and ready to put in the effort required to succeed. I am eager to apply what I learn in real projects and actively contribute to the program’s competitive and collaborative environment</t>
  </si>
  <si>
    <t>omar abdelmohsen ahmed senosy</t>
  </si>
  <si>
    <t>01022009918</t>
  </si>
  <si>
    <t>omarrsenosy@gmail.com</t>
  </si>
  <si>
    <t>www.linkedin.com/in/omar-senosy-832988246</t>
  </si>
  <si>
    <t>https://drive.google.com/open?id=1aEQn8kPjNk3UGLtQgqJP7Thbt1aVfY5Y</t>
  </si>
  <si>
    <t>I want this scholarship because I’m serious about building a real career in AI and data. I’m currently developing my skills in data analysis, and I want to take the next step by learning AI in a structured way through a high-quality program.
This scholarship will help me gain practical experience, work on real projects, and build a strong portfolio that proves my skills. My goal is to become a data/AI professional who can solve real business problems and create value for companies in a measurable way.</t>
  </si>
  <si>
    <t xml:space="preserve">This scholarship would be a major step in my career and i am ready to invest my time and effort to gain this knowledge </t>
  </si>
  <si>
    <t>Data Analysis ( using python ), AI Tools</t>
  </si>
  <si>
    <t xml:space="preserve">Emily wael mounir </t>
  </si>
  <si>
    <t>01222812323</t>
  </si>
  <si>
    <t>emilywael76@gmail.com</t>
  </si>
  <si>
    <t>https://www.linkedin.com/in/emily-wael-92888924a?utm_source=share&amp;utm_campaign=share_via&amp;utm_content=profile&amp;utm_medium=android_app</t>
  </si>
  <si>
    <t>https://drive.google.com/open?id=18KddziqQBkHHUfUgEXcAMWkV-_AytL_J</t>
  </si>
  <si>
    <t>I want this scholarship because it represents more than financial support — it is an opportunity to grow academically and professionally.
My goal is to deepen my knowledge in data science and artificial intelligence, especially in building real-world solutions that create measurable impact. This scholarship would allow me to focus fully on learning, research, and practical projects without financial pressure.
I am highly motivated, disciplined, and committed to making the most of every opportunity. If selected, I will not only benefit from the program but also actively contribute to its community and represent it with excellence.</t>
  </si>
  <si>
    <t>Data Analysis ( using python ), Machine Learning, MLOps ( using AWS and/or Huwawie Cloud ), AI Tools</t>
  </si>
  <si>
    <t>عاصم عطيه عبدالوهاب</t>
  </si>
  <si>
    <t>01055478720</t>
  </si>
  <si>
    <t>asmelkassas8@gmail.com</t>
  </si>
  <si>
    <t xml:space="preserve"> linkedin.com/in/asem-elkassas</t>
  </si>
  <si>
    <t>https://drive.google.com/open?id=1PUAGgXHo2ndh1jFAUMCeaqSPuHFm8-Ky</t>
  </si>
  <si>
    <t>افهم شويه عن الذكاء الاصطناعي وانا داتا ساينس ممكن اشتغل فيه</t>
  </si>
  <si>
    <t xml:space="preserve">مهتم بالموضوع وف الإطار الجامعي قسم Ai معدل فصلي ٣.٧ اشتغلت ع نفسي ف حاجات كتير ف الداتا انلاسيز واتقبلت ف رواد مصر  الرقميه داتا ساينس وجايب تقدير جامعي كويس وعندي خلفيه عن أشياء ف الذكاء الاصطناعي ومؤهل لشغل داتا انلاسيز </t>
  </si>
  <si>
    <t xml:space="preserve">من بشمهندس احمد حافظ بشمهندس محترم وبشوف شغله </t>
  </si>
  <si>
    <t>https://drive.google.com/open?id=1zBThEanx2U5IZJcDYQS4iqb4mXPy4WdE</t>
  </si>
  <si>
    <t>I want build a strong base at Ai</t>
  </si>
  <si>
    <t>I have some experience at Ai i studied ML and Supervised learning and i have stronge base at programming and i am good problem solver</t>
  </si>
  <si>
    <t>Thanks for your efforts</t>
  </si>
  <si>
    <t xml:space="preserve">Mariamhanybt18@gmail.com </t>
  </si>
  <si>
    <t>https://drive.google.com/open?id=1-G1RfkJsFv5Zw83990Y_Eld9orTg-7ar</t>
  </si>
  <si>
    <t xml:space="preserve">Because I want to develop myself more to get the most benefit </t>
  </si>
  <si>
    <t xml:space="preserve">I want to benefit from you as much as I can and grow more in my field. </t>
  </si>
  <si>
    <t xml:space="preserve">I hope to get the most benefit from this scholarship and be a member of it </t>
  </si>
  <si>
    <t xml:space="preserve">Roqaia Hany Mohammed Ragab </t>
  </si>
  <si>
    <t>01067469939</t>
  </si>
  <si>
    <t>rokiaragab29@gmail.com‏</t>
  </si>
  <si>
    <t>https://www.linkedin.com/in/roqaia-ragab-b9b391321?utm_source=share_via&amp;utm_content=profile&amp;utm_medium=member_android</t>
  </si>
  <si>
    <t>https://drive.google.com/open?id=1BeAHGdY2vSOQjl0Cr8Iv_gCMAeJPYEC2</t>
  </si>
  <si>
    <t>I want this scholarship because it will help me grow academically and professionally while allowing me to focus on developing my skills in my field. It represents an opportunity to learn, improve, and contribute meaningfully in the future. I am highly motivated to make the most of this opportunity and prove that I deserve it.</t>
  </si>
  <si>
    <t>You should accept me because I am dedicated, hardworking, and genuinely passionate about learning and growth. I take every opportunity seriously and always strive to give my best effort. If selected, I will represent the scholarship with commitment, responsibility, and a strong desire to make a positive impact.</t>
  </si>
  <si>
    <t xml:space="preserve">Omar zanaty </t>
  </si>
  <si>
    <t>01032821515</t>
  </si>
  <si>
    <t>omar32zanaty@gmail.com</t>
  </si>
  <si>
    <t>https://www.linkedin.com/in/omar-zanaty-9b8769321?utm_source=share_via&amp;utm_content=profile&amp;utm_medium=member_android</t>
  </si>
  <si>
    <t>https://drive.google.com/open?id=1d4roCJuG6DvipDS7w1ZXngZpFEMau6Yl</t>
  </si>
  <si>
    <t>I would like to apply for this scholarship because I am very interested in this field I am still at the beginning of my journey in this track and I want to develop myself in it My goal is to work in this field after graduation, and I see this scholarship as a strong opportunity since it is offered by a trusted and reputable organization that will truly help me</t>
  </si>
  <si>
    <t>انا ممكن اكون مش اكتر واحد داخل في المجال بس انا بحب رياضيات وبحل فيه  ولحد شهر سبعه إن شاء الله هكون تعمقت اكتر في المجال و فهمت إن شاء الله و هكون مجتهد خلال دبلومه عشان اكون مضيعتش الفرصه علي حد</t>
  </si>
  <si>
    <t xml:space="preserve">Mohamed Ashraf Abdelwahed </t>
  </si>
  <si>
    <t>01016251696</t>
  </si>
  <si>
    <t>mohamedashraf04q@gmail.com</t>
  </si>
  <si>
    <t>https://www.linkedin.com/in/mohamed-ashraf-0-</t>
  </si>
  <si>
    <t>https://drive.google.com/open?id=15yhE4Cbj9sBigOVuZmp9vJpkrwtbhsGI</t>
  </si>
  <si>
    <t xml:space="preserve">I wnat to know more about AI and how to use in job as a data analyst it's can make it easier and faster </t>
  </si>
  <si>
    <t xml:space="preserve">Passionate about learning and asking </t>
  </si>
  <si>
    <t>Python Basics, Mathematics, Data Preprocessing, Data Analysis ( using python ), Introduction to Data Engineering ( Theoratical ), Agentic AI, AI Tools</t>
  </si>
  <si>
    <t xml:space="preserve">Thank you very much sir Ahmed </t>
  </si>
  <si>
    <t>https://drive.google.com/open?id=1xFu8mEV-Kz9Tx4pWDpVzUOZrV9QGsgxX</t>
  </si>
  <si>
    <t xml:space="preserve">improve my knowledge , make progress for my career   </t>
  </si>
  <si>
    <t xml:space="preserve">i already have relative  knowledge </t>
  </si>
  <si>
    <t>friend</t>
  </si>
  <si>
    <t xml:space="preserve">no keep going </t>
  </si>
  <si>
    <t xml:space="preserve">ابراهيم محمد سلامه الشاذلي </t>
  </si>
  <si>
    <t>+201009714915</t>
  </si>
  <si>
    <t>ebrahimelshazly1112@gmail.com</t>
  </si>
  <si>
    <t>https://www.linkedin.com/in/ebrahim-elshazly-b066552a8/</t>
  </si>
  <si>
    <t>https://drive.google.com/open?id=13ATzEE7uGr8uvud0_iU0rRN0ArjvDiaA</t>
  </si>
  <si>
    <t>Because it's my track in university and want to be expert in it</t>
  </si>
  <si>
    <t xml:space="preserve">I am student and I can follow the full scholarship and I am interested about it </t>
  </si>
  <si>
    <t xml:space="preserve">Mohamed Ahmed Hasan Reedy </t>
  </si>
  <si>
    <t>01011315605</t>
  </si>
  <si>
    <t>mhmdahmdhsn094@gmail.com</t>
  </si>
  <si>
    <t>https://www.linkedin.com/in/mohamed-reedy?</t>
  </si>
  <si>
    <t>https://drive.google.com/open?id=1M2lYpuY8uvqAmPpvZo0WSetOHWaNMTQr</t>
  </si>
  <si>
    <t xml:space="preserve">This scholarship is very important for me to improve my skills in Ai and add more experience in Ai technologies </t>
  </si>
  <si>
    <t xml:space="preserve">I have studied Data preprocessing and ML  and some topics in Deep learning so I'm motivated to complete my journey in this field. </t>
  </si>
  <si>
    <t xml:space="preserve">From Eng.Ahmed Hafez on LinkedIn </t>
  </si>
  <si>
    <t xml:space="preserve">Yomna Ibrahim soror </t>
  </si>
  <si>
    <t>01015310270</t>
  </si>
  <si>
    <t>yomnasoror220@gimal.com</t>
  </si>
  <si>
    <t>https://www.linkedin.com/in/yomna-soror-560930340?utm_source=share_via&amp;utm_content=profile&amp;utm_medium=member_android</t>
  </si>
  <si>
    <t>https://drive.google.com/open?id=1da-UacJsBwAZHixz4Iz8hCFt34lrPlmI</t>
  </si>
  <si>
    <t>احسن مهاراتي في المجال و كمان اقدر الاقي شغل بعد اما اتحسن</t>
  </si>
  <si>
    <t xml:space="preserve">عندي الأساسيات في البرمجه وكمان الذكاء الاصطناعي غير اني شخص محب للتعلم وقضوليه جدا </t>
  </si>
  <si>
    <t xml:space="preserve">Nourhan Khaled Mohamed </t>
  </si>
  <si>
    <t>01102444545</t>
  </si>
  <si>
    <t>norhan202125050nnnn@gmail.com</t>
  </si>
  <si>
    <t>https://www.linkedin.com/in/norhan-khaled1</t>
  </si>
  <si>
    <t>https://drive.google.com/open?id=1T_HiY74UsXF6rLVoviPfLYL6YTnXvypC</t>
  </si>
  <si>
    <t>I want this scholarship to start a Master’s degree in Artificial Intelligence, which is the field I want to specialize in and develop myself further. This scholarship will give me the opportunity to learn more and work on improving myself in a stronger and more focused way.</t>
  </si>
  <si>
    <t>Because I am a hardworking and ambitious person, and I always love to learn. I constantly try to improve myself, and I’m not afraid of challenges.</t>
  </si>
  <si>
    <t xml:space="preserve">Sara Hemaia Abdelmatin fouda </t>
  </si>
  <si>
    <t>01030470965</t>
  </si>
  <si>
    <t>sarahfouda2@gmail.com</t>
  </si>
  <si>
    <t>https://www.linkedin.com/in/sarah-fouda-ab0405357?trk=contact-info</t>
  </si>
  <si>
    <t>https://drive.google.com/open?id=1ZgCxcgPyEf51gJtyxneCkreHAuwcjKSL</t>
  </si>
  <si>
    <t xml:space="preserve">I want to increase my experience through study. I am an ambitious person and I want to increase my experience so that I can be employed after I finish my university studies. </t>
  </si>
  <si>
    <t xml:space="preserve">Information in my CV confirms that I am a student eager to learn more. </t>
  </si>
  <si>
    <t>Mathematics, Data Preprocessing, Machine Learning, Deep Learning, AI Tools</t>
  </si>
  <si>
    <t xml:space="preserve">I hope to be accepted into the free scholarship program because I am someone who wants to increase my knowledge and benefit from it. </t>
  </si>
  <si>
    <t xml:space="preserve">Amr Ashraf Amin </t>
  </si>
  <si>
    <t>01096265802</t>
  </si>
  <si>
    <t>amrforstudy85@gmail.com</t>
  </si>
  <si>
    <t>www.linkedin.com/in/amr-ashraf-</t>
  </si>
  <si>
    <t>https://drive.google.com/open?id=1od0BNFb7mSKWZCQCRFJnYAwil39qIb2N</t>
  </si>
  <si>
    <t xml:space="preserve">to improve my knowledge and skills to work in a company   </t>
  </si>
  <si>
    <t xml:space="preserve"> Because I combine strong technical foundations with a real passion for learning and applying what I learn. I’ve worked on practical projects where I used Python and data analysis techniques to solve real problems, not just theoretical tasks.</t>
  </si>
  <si>
    <t>Amr Elzanaty</t>
  </si>
  <si>
    <t>01061270321</t>
  </si>
  <si>
    <t>amremad6546@gmail.com</t>
  </si>
  <si>
    <t>www.linkedin.com/in/amr-el-zanaty</t>
  </si>
  <si>
    <t>https://drive.google.com/open?id=1IWRR8h4l-Fd0rkTMsRVwgGGEHAng0iY-</t>
  </si>
  <si>
    <t xml:space="preserve">انا بتعلم تحليل بيانات وعاوز اخد مدخل للai عشان اعرف استخدمه بشكل كويس في شغلي </t>
  </si>
  <si>
    <t xml:space="preserve">هقدر التزم باحضور سواء اون لاين او اوفلاين و ان شاء الله اقدر اطلع شغل كويس من الدورة </t>
  </si>
  <si>
    <t xml:space="preserve">من صديق ليا </t>
  </si>
  <si>
    <t>Data Preprocessing, Data Analysis ( using python ), Machine Learning, MLOps ( using AWS and/or Huwawie Cloud ), NLP &amp; LLMs, AI Tools</t>
  </si>
  <si>
    <t xml:space="preserve">شكرا جزيلا </t>
  </si>
  <si>
    <t>Eman Yasser Elnaggar</t>
  </si>
  <si>
    <t>01025106441</t>
  </si>
  <si>
    <t xml:space="preserve">emanelnaggar.2019@gmail.com </t>
  </si>
  <si>
    <t>https://www.linkedin.com/in/eman-elnaggar-6529a72b8?utm_source=share&amp;utm_campaign=share_via&amp;utm_content=profile&amp;utm_medium=android_app</t>
  </si>
  <si>
    <t>https://drive.google.com/open?id=1P4K0bZueyntuqdPza62gCSsd7t0Moz_M</t>
  </si>
  <si>
    <t>I am interested in the grant because of the technical content, the participating companies, the job opportunities, and also the Hackathon gave me an extra boost.</t>
  </si>
  <si>
    <t>I have a little experience as I have had some opportunities and I want to learn more things with a serious desire to work, so I will give as much commitment as possible throughout the grant period.</t>
  </si>
  <si>
    <t xml:space="preserve">Ali Sayed Mahmoud Ibrahem </t>
  </si>
  <si>
    <t>01006722817</t>
  </si>
  <si>
    <t>ali.sayed2233@gmail.com</t>
  </si>
  <si>
    <t>https://www.linkedin.com/in/ali-sayed-ai?utm_source=share&amp;utm_campaign=share_via&amp;utm_content=profile&amp;utm_medium=ios_app</t>
  </si>
  <si>
    <t>https://drive.google.com/open?id=1wbmQYozqjyZKpbCY8z3pKYfdZWvrtvL6</t>
  </si>
  <si>
    <t>To train myself more, learn more, gain comprehensive knowledge in all topics and fundamentals, and be ready for work.</t>
  </si>
  <si>
    <t>Because I’m studying AI in college, and I’ve also taken scholarships and courses. I already have the fundamentals, have worked on projects, and I’m ready to learn more.</t>
  </si>
  <si>
    <t>Mahmoud Khalid Alkodousy</t>
  </si>
  <si>
    <t>01062600199</t>
  </si>
  <si>
    <t>mahmoud.alkodousy@gmail.com</t>
  </si>
  <si>
    <t>https://www.linkedin.com/in/mahmoud-khalid-alkodousy</t>
  </si>
  <si>
    <t>https://drive.google.com/open?id=1P-o_wJeNiyTiSROxZs85SpLfLbYjLFV3</t>
  </si>
  <si>
    <t>I want to join this scholarship to build a strong and structured foundation in Artificial Intelligence and Data Science.
My goal is to gain both theoretical knowledge and practical experience that will help me work on real-world AI projects and contribute to solving meaningful problems.
I am especially interested in Machine Learning, Deep Learning, NLP, and Agentic AI, and I believe this scholarship will accelerate my learning journey and prepare me for a professional career in AI.</t>
  </si>
  <si>
    <t>You should accept me because I am highly motivated, committed to continuous learning, and passionate about Artificial Intelligence.
I already have a technical background in engineering and data-related fields, and I am actively working on improving my skills through projects and self-study.
I am disciplined, hardworking, and eager to participate in teamwork, hackathons, and real-world challenges.
I will make the most of this opportunity and represent the scholarship with strong performance and dedication</t>
  </si>
  <si>
    <t>linkedin.com/in/sahar-amr-6a3073227</t>
  </si>
  <si>
    <t>https://drive.google.com/open?id=1e-3YXq_xh1k6KJJeQ4KaeBB-Nc85pcJA</t>
  </si>
  <si>
    <t xml:space="preserve">To upgrade my skills, get a real world experience, make new connections </t>
  </si>
  <si>
    <t xml:space="preserve">I’m a hard worker person, I got the third rank on my class, I’m interested in this field </t>
  </si>
  <si>
    <t>Mathematics, Data Analysis ( using python ), Introduction to Data Engineering ( Theoratical ), Deep Learning, MLOps ( using AWS and/or Huwawie Cloud ), NLP &amp; LLMs, AI Tools</t>
  </si>
  <si>
    <t xml:space="preserve">Doaa Karem </t>
  </si>
  <si>
    <t>01126517325</t>
  </si>
  <si>
    <t>doaakarem798@gmail.com</t>
  </si>
  <si>
    <t>https://www.linkedin.com/in/doaa-karem-896b02212?utm_source=share&amp;utm_campaign=share_via&amp;utm_content=profile&amp;utm_medium=android_app</t>
  </si>
  <si>
    <t>https://drive.google.com/open?id=1QdqmHueKVLiKpyszpeHM2eUPzuuG1mji</t>
  </si>
  <si>
    <t xml:space="preserve">To find out who is interested in this field and to help me with my studies </t>
  </si>
  <si>
    <t xml:space="preserve">Because I'm well-educated and have a good sense of humor. </t>
  </si>
  <si>
    <t xml:space="preserve">ندى محمد شاكر طه </t>
  </si>
  <si>
    <t>01551532926</t>
  </si>
  <si>
    <t>nadashaker74@gmail.com</t>
  </si>
  <si>
    <t>https://www.linkedin.com/in/nada-shaker-9b902531a?utm_source=share&amp;utm_campaign=share_via&amp;utm_content=profile&amp;utm_medium=android_app</t>
  </si>
  <si>
    <t>https://drive.google.com/open?id=1u-TQQptDaJzMhPC-Qy-s-D2z0kLCNcP2</t>
  </si>
  <si>
    <t xml:space="preserve">Yo gain a lot of experience </t>
  </si>
  <si>
    <t>Because my major ia ai</t>
  </si>
  <si>
    <t xml:space="preserve">From friends </t>
  </si>
  <si>
    <t>I dealt with object detection for a project, it was about a card Detection and extracting the data use OCR inside .</t>
  </si>
  <si>
    <t>https://drive.google.com/open?id=16ni-LrjmdijekkZm8ZKXT3rCT4wwC8ux</t>
  </si>
  <si>
    <t>I want this scholarship to strengthen my practical AI skills and work on real project</t>
  </si>
  <si>
    <t>I’m highly motivated and already have hands-on experience in AI projects and I’m committed to continuous learning and applying what I study in real implementations, and I can contribute actively in projects and the final hackathon.</t>
  </si>
  <si>
    <t>Python Basics, Mathematics, Data Preprocessing, Machine Learning, Deep Learning, MLOps ( using AWS and/or Huwawie Cloud ), NLP &amp; LLMs, Computer Vision, Agentic AI, AI Tools, All AI Topics</t>
  </si>
  <si>
    <t>I'm very interested to join this program</t>
  </si>
  <si>
    <t xml:space="preserve">Mohamed Alshamy </t>
  </si>
  <si>
    <t>+201001902838</t>
  </si>
  <si>
    <t>mohamed.elsayed.alshamy@gmail.com</t>
  </si>
  <si>
    <t>https://linkedin.com/in/mohamed-alshamy</t>
  </si>
  <si>
    <t>https://drive.google.com/open?id=1aGuU4S_BFP1u_oK9duU-_5lBr29hM1ji</t>
  </si>
  <si>
    <t>To develop my technical expertise with geniuses like eng. ahmed hafez</t>
  </si>
  <si>
    <t>I have at least 3 years of experience in artificial intelligence, computer vision, robotics, and hardware, and I aspire to gain experience from a place that includes experts in the field, such as eng. ahmed hafez</t>
  </si>
  <si>
    <t>Linkedin, facebook and eng hafez profiles</t>
  </si>
  <si>
    <t>Introduction to Data Engineering ( Theoratical ), MLOps ( using AWS and/or Huwawie Cloud ), Computer Vision, Agentic AI, AI Tools</t>
  </si>
  <si>
    <t>I hope I'm accepted, and if I'm rejected, I'd like to know the reasons</t>
  </si>
  <si>
    <t xml:space="preserve">Shahd waleed samy </t>
  </si>
  <si>
    <t>01013239231</t>
  </si>
  <si>
    <t>shahdwaledmosalamy@gmail.com</t>
  </si>
  <si>
    <t>https://www.linkedin.com/in/shahd-waleed-samy-585250363?utm_source=share_via&amp;utm_content=profile&amp;utm_medium=member_android</t>
  </si>
  <si>
    <t>https://drive.google.com/open?id=12a8N1S75rbrqeP66QyI-xDEUoT0PnozL</t>
  </si>
  <si>
    <t xml:space="preserve">gaining experience </t>
  </si>
  <si>
    <t xml:space="preserve">Passionate and persistence in learning </t>
  </si>
  <si>
    <t xml:space="preserve">Is there is a certificate after completing the course content? </t>
  </si>
  <si>
    <t xml:space="preserve">Ahmed Adel mahmoud </t>
  </si>
  <si>
    <t>01146294772</t>
  </si>
  <si>
    <t>ahmdadlaljndyadl@gmail.com</t>
  </si>
  <si>
    <t>https://www.linkedin.com/in/ahmed-adel-elgendy-13337b202?utm_source=share_via&amp;utm_content=profile&amp;utm_medium=member_android</t>
  </si>
  <si>
    <t>https://drive.google.com/open?id=1-_B8OuiqKdU4ZlxcqiUv9UKsuEHJkD7-</t>
  </si>
  <si>
    <t>Will help me to raise my level in Ai topics and I have passion on this topic</t>
  </si>
  <si>
    <t>انا طالب بكليه الحاسبات والذكاء الاصطناعي لدى خبرة عالية جدا جدا فى الذكاء الاصطناعي وبنيت بعض المشاريع من البداية إلى النهاية وأشعر أن هذه الرحلة سوف تجعل مستواي يتقدم</t>
  </si>
  <si>
    <t>Mohamed Saeed</t>
  </si>
  <si>
    <t>https://drive.google.com/open?id=1rfQ4KflFQnu2_JnboNiW-6kUXhTbHGJs</t>
  </si>
  <si>
    <t xml:space="preserve">I want this scholarship because I am passionate about Artificial Intelligence and want to deepen my practical knowledge in the field. I have been building my foundation in AI and machine learning, and I’m looking for a structured program to strengthen my skills and work on real projects.
This scholarship will help me grow technically, participate in the hackathon, and prepare for a professional career in AI. I am committed to learning and ready to put in the effort to excel. </t>
  </si>
  <si>
    <t>You should accept me because I am highly motivated and serious about building a career in Artificial Intelligence. I am not only interested in learning theory, but also in applying what I learn through real projects and continuous practice.
I am disciplined, committed, and willing to put in the effort required to excel in this program. If accepted, I will fully engage in the scholarship, contribute actively in the hackathon, and aim to achieve outstanding results.</t>
  </si>
  <si>
    <t>I heard about this scholarship through social media and became interested after reading the details.</t>
  </si>
  <si>
    <t>Thank you for this opportunity. I am highly motivated to learn, grow, and actively participate in all scholarship activities, including the hackathon and career event.</t>
  </si>
  <si>
    <t>Mohammed Emad Elsafty</t>
  </si>
  <si>
    <t>01122389517</t>
  </si>
  <si>
    <t>mohamed20551111@gmail.com</t>
  </si>
  <si>
    <t>www.linkedin.com/in/mohammed-el-safty-74l</t>
  </si>
  <si>
    <t>https://drive.google.com/open?id=17PJcVf4Ckvv8vSspYEjz4v_lUq23sslA</t>
  </si>
  <si>
    <t>I am an AI and Data Analysis student passionate about using data and artificial intelligence to solve real-world problems. This scholarship will help me deepen my technical skills, gain practical experience, and learn from experts in the field. As an aspiring AI intern, I am eager to expand my knowledge in machine learning, data analysis, and real-world applications. The opportunity will also allow me to collaborate with motivated peers and contribute to impactful projects. My goal is to grow into a skilled AI professional who creates data-driven solutions that make a meaningful difference</t>
  </si>
  <si>
    <t>I have worked on real projects and continuously improve my skills through hands-on practice and teamwork experiences. I am highly motivated to learn, contribute, and apply my knowledge to real-world challenges. I bring curiosity, discipline, and a growth mindset, and I am committed to making the most of this opportunity while adding value to the program and my peers.</t>
  </si>
  <si>
    <t>Linkedin by engineer ahmed hafez</t>
  </si>
  <si>
    <t>منة الله عادل عبدالرحيم</t>
  </si>
  <si>
    <t>01098230561</t>
  </si>
  <si>
    <t>mennatollah.farghaly@gmail.com</t>
  </si>
  <si>
    <t>https://www.linkedin.com/in/mennatollahfarghaly/</t>
  </si>
  <si>
    <t>https://drive.google.com/open?id=1XrszwwpNE1XkJwcLv_aqdHL4Zx-Z1GM0</t>
  </si>
  <si>
    <t>I want it for two reasons actually the first is the huge need for understanding AI and its applications in all tech and non-tech fields as I want to integrate my knowledge in Security with my knowledge in AI for research and career development purposes, the second reason is that Eng. Ahmed Hafez was my AI instructor before in one of the rounds he taught, and I know how knowledgeable and resourceful he is, and I think I need his and his colleagues' expertise so that I learn AI the right way.</t>
  </si>
  <si>
    <t>I have strong curiosity in nearly all fields in tech, and I previously studied the necessary programming languages, embedded systems, networks, defensive and offensive security,  and I am now studying cloud technologies and DevOps, and I believe the most important field of them all is AI which I haven't learned properly, and I need to properly understand ML, Data analysis and data science as I will be using them in my postgraduate studies, research and career development, also I am not a complete beginner I already have the foundations like python, Math, and I have studied data analysis in python before with Eng. Ahmed, and I know one of the sponsors is HCDG which I believe will know the need of AI for cloud enthusiasts, and for those who wants to escalate their career globally.</t>
  </si>
  <si>
    <t>From Eng. Ahmed Hafez LinkedIn post</t>
  </si>
  <si>
    <t>whether I will get to learn AI with you or not I didn't have the chance to thank Eng. Ahmed for his guidance before so I would like to thank him</t>
  </si>
  <si>
    <t>Sohib Mohamed Mohamed Mustafa</t>
  </si>
  <si>
    <t>01066706677</t>
  </si>
  <si>
    <t>sohib9474@gmail.com</t>
  </si>
  <si>
    <t>linkedin.com/in/sohib-mohammed-b48bb0282</t>
  </si>
  <si>
    <t>https://drive.google.com/open?id=1sVQICBq0TOVttKwy2g2kIQVu_SZ1rMUu</t>
  </si>
  <si>
    <t>I have been searching for a high-quality AI course for over a year, exploring many programs, but most of them were either too basic or not directly relevant to the field. Discovering this scholarship felt like a lifeline, offering me the chance I have been looking for to truly advance in AI. I am eager to gain a comprehensive and practical understanding of Artificial Intelligence, apply my skills in real projects, and collaborate with other motivated students. I am fully committed to engaging with the program and making the most of this unique opportunity to accelerate my learning and growth in AI.</t>
  </si>
  <si>
    <t>I believe I am a strong candidate for this scholarship because of my passion for Artificial Intelligence and my commitment to continuous learning. Over the past year, I have actively pursued knowledge in the field, participated in competitions, and completed multiple AI and programming courses. Currently, I am developing an AI-based business idea for the Hult Prize competition, which gives me practical experience in applying AI to real-world problems. I am eager to apply these skills, engage fully in the program, and contribute positively to collaborative projects and the hackathon.</t>
  </si>
  <si>
    <t>Mathematics, Data Preprocessing, Data Analysis ( using python ), Introduction to Data Engineering ( Theoratical ), Machine Learning, Deep Learning, MLOps ( using AWS and/or Huwawie Cloud ), NLP &amp; LLMs, Computer Vision, Agentic AI, AI Tools</t>
  </si>
  <si>
    <t xml:space="preserve">خلود محمد زكي عبداللا </t>
  </si>
  <si>
    <t>01015707450</t>
  </si>
  <si>
    <t>kholoud26mohammed@gmail.com</t>
  </si>
  <si>
    <t>https://www.linkedin.com/in/kholoud-mohammed-624a57272?utm_source=share&amp;utm_campaign=share_via&amp;utm_content=profile&amp;utm_medium=android_app</t>
  </si>
  <si>
    <t>https://drive.google.com/open?id=195ujlLBeZHTtkqrW-Y9OrEvjEkI7zjyq</t>
  </si>
  <si>
    <t>I am applying for this scholarship because I am passionate about artificial intelligence and eager to continue developing my skills. I believe this opportunity will help me grow professionally and become a stronger AI engineer</t>
  </si>
  <si>
    <t>I believe I would be a strong candidate because I am motivated, committed to learning, and always strive to improve myself. I am ready to make the most of this opportunity.</t>
  </si>
  <si>
    <t>Data Analysis ( using python ), Introduction to Data Engineering ( Theoratical ), Machine Learning, Deep Learning, MLOps ( using AWS and/or Huwawie Cloud ), NLP &amp; LLMs, Computer Vision, Agentic AI, AI Tools, All AI Topics</t>
  </si>
  <si>
    <t>Noor Aldin Basem Alhamshary</t>
  </si>
  <si>
    <t>+201095610131</t>
  </si>
  <si>
    <t>nooralhamshari70@gmail.com</t>
  </si>
  <si>
    <t>https://www.linkedin.com/in/nooraldin-basem</t>
  </si>
  <si>
    <t>https://drive.google.com/open?id=127mJJlZx1JfouQAKLjl3RuOp-QM7JeWO</t>
  </si>
  <si>
    <t>I want this scholarship because it represents an opportunity to grow academically, professionally, and personally. As a motivated learner, I am committed to developing my skills and expanding my knowledge so I can create meaningful impact in my field and community.
Financial limitations can sometimes slow down educational progress, but they have never stopped my ambition. This scholarship would allow me to focus fully on my studies, gain advanced training, and make the most of opportunities that would otherwise be difficult to access.</t>
  </si>
  <si>
    <t>I believe you should accept me because I am highly motivated, disciplined, and committed to making the most of this opportunity. I do not see this as just a scholarship, but as a responsibility to grow, perform, and contribute.
I have consistently worked on improving myself, both academically and personally. Challenges have never stopped me; instead, they have strengthened my determination and taught me persistence, problem-solving, and self-reliance. I am someone who takes initiative, keeps learning, and pushes forward even in difficult situations.
If accepted, I will fully dedicate myself to achieving excellent results, representing the program with integrity, and using what I learn to create real impact in my field and community</t>
  </si>
  <si>
    <t>I sincerely hope to be accepted into the scholarship program and given the opportunity to prove my dedication and potential.</t>
  </si>
  <si>
    <t xml:space="preserve">Rokia yasser </t>
  </si>
  <si>
    <t>01120415541</t>
  </si>
  <si>
    <t>rokiayasser131@gmail.com</t>
  </si>
  <si>
    <t>https://www.linkedin.com/in/rokia-yasser-1a8a4922b</t>
  </si>
  <si>
    <t>https://drive.google.com/open?id=10_913x6GT0pIKF8rKT0o6Rh1Mp1mM8na</t>
  </si>
  <si>
    <t xml:space="preserve">I want to learn more about MLOps and advanced topics in AI and I'm searching for opportunity to take  an internship </t>
  </si>
  <si>
    <t xml:space="preserve">I'm a fast learner and disciplined </t>
  </si>
  <si>
    <t>MLOps ( using AWS and/or Huwawie Cloud ), Computer Vision</t>
  </si>
  <si>
    <t>Nour Mohammed Saber</t>
  </si>
  <si>
    <t>01228121132</t>
  </si>
  <si>
    <t>noormohmed584@gmail.com</t>
  </si>
  <si>
    <t>https://www.linkedin.com/in/nour-mohammed-06341a204?utm_source=share&amp;utm_campaign=share_via&amp;utm_content=profile&amp;utm_medium=android_app</t>
  </si>
  <si>
    <t>https://drive.google.com/open?id=1aINfvnin6nAuXfxXmp_lP3IP8hyTCI73</t>
  </si>
  <si>
    <t>I want this scholarship because it will help me grow in the field of Artificial Intelligence and move closer to my career goal of becoming an AI engineer. AI is not just interesting to me, it is something I truly enjoy learning and building with. I have already started studying data science and machine learning, and I worked on projects like data analysis, classification models, and IoT systems connected to cloud platforms. These experiences made me more excited about AI and its real-world impact. This scholarship will give me structured learning, mentorship, and practical experience. I believe learning alone is good, but learning with guidance from experts and working on real projects is much more powerful. I want to strengthen my foundations, especially in machine learning, deep learning, and problem-solving skills. Also, this scholarship will reduce the financial pressure and allow me to focus completely on learning and improving myself. I am ready to work hard, practice consistently, and take full advantage of this opportunity. My goal is not only to learn AI but to use it to build smart systems that solve real problems. This scholarship is an important step in that journey.</t>
  </si>
  <si>
    <t xml:space="preserve">You should accept me because I am committed, hardworking, and truly passionate about Artificial Intelligence and technology. I am not applying just to receive a certificate; I am applying because I genuinely want to grow, learn deeply, and build real projects that make an impact. I have already taken steps toward my goal. I studied data science and machine learning basics, worked on data analysis projects, and built technical projects such as IoT systems integrated with cloud platforms. These experiences show that I do not only learn theory — I apply what I learn in practical ways. When I start something, I finish it and try to improve it. I am also disciplined and organized. Even with university responsibilities, I dedicate time every week to improve my technical skills. I believe consistency is more important than motivation, and I practice regularly to strengthen my knowledge.
Additionally, I am a fast learner and I am not afraid of challenges. When I face a problem, I research, experiment, and keep trying until I understand it. I see difficulties as opportunities to grow. If you accept me, I will represent the scholarship well. I will work hard, participate actively, and use everything I learn to build meaningful AI solutions in the future.
</t>
  </si>
  <si>
    <t>linked in</t>
  </si>
  <si>
    <t xml:space="preserve">Omar Yasser Sayed Shafiq </t>
  </si>
  <si>
    <t>01104486163</t>
  </si>
  <si>
    <t>omaryasser3060@gmail.com</t>
  </si>
  <si>
    <t>https://www.linkedin.com/in/omar-yasser-software-engineer?utm_source=share&amp;utm_campaign=share_via&amp;utm_content=profile&amp;utm_medium=android_app</t>
  </si>
  <si>
    <t>https://drive.google.com/open?id=1xi9aVXU046xpo2BViadEx355gBvvHub9</t>
  </si>
  <si>
    <t>I want to join this AI scholarship because I am passionate about Artificial Intelligence and its real-world applications. AI is transforming every industry, and I want to be part of this transformation.</t>
  </si>
  <si>
    <t>You should accept me because I am dedicated, disciplined, and result-oriented. I have a strong technical background in programming and problem-solving, and I am constantly working on improving my skills through projects and self-learning.</t>
  </si>
  <si>
    <t>Through LinkedIn</t>
  </si>
  <si>
    <t>Machine Learning, Deep Learning, NLP &amp; LLMs, All AI Topics</t>
  </si>
  <si>
    <t xml:space="preserve">Abdallrahman Omar Hamada </t>
  </si>
  <si>
    <t>01008685282</t>
  </si>
  <si>
    <t>abdallrahmanomar520@gmail.com</t>
  </si>
  <si>
    <t>https://www.linkedin.com/in/abdallrahman-omar-1701b4360?utm_source=share_via&amp;utm_content=profile&amp;utm_medium=member_ios</t>
  </si>
  <si>
    <t>https://drive.google.com/open?id=1GTjeD8DAoYnUVKS7A_1Q3XIUBBGRdn7z</t>
  </si>
  <si>
    <t>…</t>
  </si>
  <si>
    <t>Manar Mohamed Ragaa</t>
  </si>
  <si>
    <t>01117651891</t>
  </si>
  <si>
    <t>manarragaa@gmail.com</t>
  </si>
  <si>
    <t>https://www.linkedin.com/posts/manar-mohamed-65021a284_im-excited-to-share-that-i-had-the-opportunity-activity-7349173102645248004-oLWC?utm_source=share&amp;utm_medium=member_ios&amp;rcm=ACoAAEUWcBwBedm2NKfvykdUXkl0zIFWM11GvZc</t>
  </si>
  <si>
    <t>https://drive.google.com/open?id=1-p8PZR3OxhQCeJwKyz3jOah4oCBtXZTC</t>
  </si>
  <si>
    <t xml:space="preserve">I am looking forward to expanding my knowledge and learning from experts in this course. Since I am in my final year, I also want to explore companies and better understand the job market as I prepare to start my career.
</t>
  </si>
  <si>
    <t>Being in my final year, I understand the importance of preparing myself for the industry, and I am ready to invest time, effort, and focus into making the most out of this opportunity.</t>
  </si>
  <si>
    <t xml:space="preserve">Eyad Mohamed </t>
  </si>
  <si>
    <t>01118947731</t>
  </si>
  <si>
    <t>eyad.moh777@gmail.com</t>
  </si>
  <si>
    <t>https://www.linkedin.com/in/eyad-mohamed-667a3131b?utm_source=share&amp;utm_campaign=share_via&amp;utm_content=profile&amp;utm_medium=ios_app</t>
  </si>
  <si>
    <t>https://drive.google.com/open?id=1L-1hWYHH2aAFzB2keRDxIo3dL9m80B1A</t>
  </si>
  <si>
    <t>I want to gain experience and to deep into ai</t>
  </si>
  <si>
    <t>I am passionate student hard worker and have a high problem solving and mange skills</t>
  </si>
  <si>
    <t>Python Basics, Mathematics, Data Preprocessing, Data Analysis ( using python ), Introduction to Data Engineering ( Theoratical ), Machine Learning, Deep Learning, Agentic AI, AI Tools, All AI Topics</t>
  </si>
  <si>
    <t>Morad askar hassan elnahla</t>
  </si>
  <si>
    <t>01024011971</t>
  </si>
  <si>
    <t>moradelnahla@gmail.com‏</t>
  </si>
  <si>
    <t>https://www.linkedin.com/in/morad-elnahla?utm_source=share&amp;utm_campaign=share_via&amp;utm_content=profile&amp;utm_medium=android_app</t>
  </si>
  <si>
    <t>https://drive.google.com/open?id=10zPenIXAl6Ev_UGwCNAqDS96p3pQk2k6</t>
  </si>
  <si>
    <t>I want this scholarship to deepen my knowledge in AI and gain practical experience. I’m passionate about the field and eager to develop real-world skills that will prepare me for a career in artificial intelligence.</t>
  </si>
  <si>
    <t>I am motivated and disciplined . I have a solid foundation in programming and I’m committed to continuous learning and applying what I learn in real projects.</t>
  </si>
  <si>
    <t>recommendations from friends</t>
  </si>
  <si>
    <t>Data Analysis ( using python ), Machine Learning, Deep Learning, MLOps ( using AWS and/or Huwawie Cloud )</t>
  </si>
  <si>
    <t>https://drive.google.com/open?id=1tHbGdTx6rQPDktzSRtgnNH7VlcoMTUcG</t>
  </si>
  <si>
    <t>To improve more and more</t>
  </si>
  <si>
    <t>Because I am committed, hardworking, and determined to succeed. I consistently strive for excellence in my studies and personal development, and I am motivated to use this opportunity to grow and contribute positively to my field and community.</t>
  </si>
  <si>
    <t xml:space="preserve">Eslam Ragab </t>
  </si>
  <si>
    <t>01018949935</t>
  </si>
  <si>
    <t>eslamsharoud113@gmail.com</t>
  </si>
  <si>
    <t>https://www.linkedin.com/in/eslam-sharoud</t>
  </si>
  <si>
    <t>https://drive.google.com/open?id=1ienrL_YIUtLQ4FbpiCWaS56-ynaTfv4H</t>
  </si>
  <si>
    <t>i want learn skills in ai and improve my cv</t>
  </si>
  <si>
    <t>MLOps ( using AWS and/or Huwawie Cloud ), NLP &amp; LLMs, Agentic AI, AI Tools, All AI Topics</t>
  </si>
  <si>
    <t>Heba sayed kamal</t>
  </si>
  <si>
    <t>01029362007</t>
  </si>
  <si>
    <t>Itsheba.10@gmail.com</t>
  </si>
  <si>
    <t>https://www.linkedin.com/in/heba-sayed-12a9b6324?utm_source=share&amp;utm_campaign=share_via&amp;utm_content=profile&amp;utm_medium=ios_app</t>
  </si>
  <si>
    <t>https://drive.google.com/open?id=1vKiML-wTt8rfRSehINW0thFPxcjSO4QI</t>
  </si>
  <si>
    <t>عايزه أتطور من نفسي واكتسب مهارات كتييره</t>
  </si>
  <si>
    <t>عند خبره ف بايثون وhtml ، css وبعرف اعمل مشاريع</t>
  </si>
  <si>
    <t xml:space="preserve">University </t>
  </si>
  <si>
    <t>Python Basics, Mathematics, Data Preprocessing, Data Analysis ( using python ), Introduction to Data Engineering ( Theoratical ), Machine Learning, Deep Learning, NLP &amp; LLMs, Computer Vision, All AI Topics</t>
  </si>
  <si>
    <t>https://drive.google.com/open?id=18qCScOJdhx9GwIbemfa9XT3hMMBL7Tle</t>
  </si>
  <si>
    <t xml:space="preserve">I need this scholarship to invest myself I to apply the internship and jobs after program </t>
  </si>
  <si>
    <t xml:space="preserve">I have good knowledge and can learn quickly,I can attend all lectures and search to developing my self </t>
  </si>
  <si>
    <t>Python Basics, Mathematics, Data Preprocessing, Data Analysis ( using python )</t>
  </si>
  <si>
    <t>mohamedwael2077@gmail.com</t>
  </si>
  <si>
    <t>https://drive.google.com/open?id=1ltUxn8FOzJhnQqr1KxLB30K8dAEWD_Kp</t>
  </si>
  <si>
    <t>to learn more about ai and data analytics</t>
  </si>
  <si>
    <t xml:space="preserve">i need this scolarship. </t>
  </si>
  <si>
    <t>I am studing diploma in applied ai and data analytics . can you help me to choose subjects i will study</t>
  </si>
  <si>
    <t xml:space="preserve">Ahmed sayed Ahmed Ragb </t>
  </si>
  <si>
    <t>01098726884</t>
  </si>
  <si>
    <t>ahhmedasayed@gmail.com</t>
  </si>
  <si>
    <t>https://www.linkedin.com/in/ahmed-sayed-zaid?utm_source=share&amp;utm_campaign=share_via&amp;utm_content=profile&amp;utm_medium=android_app</t>
  </si>
  <si>
    <t>https://drive.google.com/open?id=1smLo9VZDKiY94Cqo9hUDEliXhVE6MuTC</t>
  </si>
  <si>
    <t>I am very interested in receiving this scholarship because it represents a real opportunity for me to deepen my knowledge and expand my expertise in Artificial Intelligence.
I am passionate about learning and continuously developing my skills in AI, and I am especially excited about the competitive environment that the scholarship provides, as I truly enjoy challenges and pushing myself to grow.
Additionally, the scholarship being supervised by Engineer Ahmed Hafez and supported by major companies makes it even more valuable to me. I would be honored to be part of such a professional environment and to have the chance to attend sessions with distinguished guests, whom I am confident will be inspiring figures that I already admire and follow.</t>
  </si>
  <si>
    <t>I am extremely passionate about learning everything new in the field of Artificial Intelligence and diving deeper into it.
Although I only entered the AI field recently, in July 2025, I was able within a very short period of time to successfully complete several diverse and strong projects.
I believe that my genuine love and passion for Artificial Intelligence are qualities that would motivate and encourage anyone to support my journey and consider me a valuable addition to this program.</t>
  </si>
  <si>
    <t>Through Eng Ahmed Hafez.</t>
  </si>
  <si>
    <t>I am extremely excited to begin the scholarship if I am accepted, and if I am not selected, I sincerely wish you continued success and prosperity.</t>
  </si>
  <si>
    <t>Ezzeldin yasser nabil</t>
  </si>
  <si>
    <t>01015938556</t>
  </si>
  <si>
    <t>202303039@pua.edu.eg</t>
  </si>
  <si>
    <t>https://www.linkedin.com/in/ezzeldin-yasser-b336402b1?utm_source=share&amp;utm_campaign=share_via&amp;utm_content=profile&amp;utm_medium=ios_app</t>
  </si>
  <si>
    <t>https://drive.google.com/open?id=1REY9HjfOOU0WGaq_7Ln-3hoHGJxsYK0S</t>
  </si>
  <si>
    <t xml:space="preserve">TO improve my experience in ai field and join to a technical community </t>
  </si>
  <si>
    <t>I am passionate about learning and continuously developing my knowledge in AI.</t>
  </si>
  <si>
    <t>linkedin and facebook</t>
  </si>
  <si>
    <t>Mahmoud Abdelkhalek Mahmoud Elwer</t>
  </si>
  <si>
    <t>+201001376153</t>
  </si>
  <si>
    <t>mahmoudabdelkhalek134@gmail.com</t>
  </si>
  <si>
    <t>www.linkedin.com/in/mahmoudaelwer</t>
  </si>
  <si>
    <t>https://drive.google.com/open?id=1l-cqqS_3Zo2tyA17OLYw00_QNZFMpfdZ</t>
  </si>
  <si>
    <t>to improve and enhance my skills in AI and Machine Learning</t>
  </si>
  <si>
    <t>Because I am highly motivated, eager to learn, and committed to applying the skills I gain to real projects and use it to create a positive impact in my field and community</t>
  </si>
  <si>
    <t>Facebook page</t>
  </si>
  <si>
    <t>Eriny Daood Zakaria Seleman</t>
  </si>
  <si>
    <t>01222393865</t>
  </si>
  <si>
    <t>erinydaood@gmail.com</t>
  </si>
  <si>
    <t>https://www.linkedin.com/in/eriny-daood-99a65431b?lipi=urn%3Ali%3Apage%3Ad_flagship3_profile_view_base_contact_details%3BXO8Vog9YSvKSvy9qnNgtMQ%3D%3D</t>
  </si>
  <si>
    <t>https://drive.google.com/open?id=1TKUkkUh9lJNyvYH8nWp9JCuwb0HRgmSx</t>
  </si>
  <si>
    <t>I want this scholarship because I am passionate about data analytics and artificial intelligence, and want to develop my technical skills in this field.
As a Business Analysis student, I believe AI will play a major role in decision-making and business solutions, and this scholarship will help me gain practical knowledge and experience.</t>
  </si>
  <si>
    <t xml:space="preserve">You should accept me because I am hardworking, and eager to learn and I have experience working with data, building dashboards, and applying analytical models. I am not only interested in learning, but also in applying knowledge and creating real value.
I am able to manage my time, work in teams, and solve problems analytically. </t>
  </si>
  <si>
    <t>I heard about this scholarship through my university</t>
  </si>
  <si>
    <t>Python Basics, Mathematics, Data Preprocessing, Data Analysis ( using python ), Machine Learning, Deep Learning, NLP &amp; LLMs, AI Tools, All AI Topics</t>
  </si>
  <si>
    <t>I have a strong interest in data analytics and artificial intelligence. I have worked on several projects and I am eager to deepen my knowledge in AI. I believe this scholarship will help me build advanced skills and prepare me for a professional career in data and AI.</t>
  </si>
  <si>
    <t>Eman Omay</t>
  </si>
  <si>
    <t>01027366519</t>
  </si>
  <si>
    <t>Eman.omay.nayl@gmail.com</t>
  </si>
  <si>
    <t>https://drive.google.com/open?id=1hiB8NrPN4GCZCRGZLuhRyQfyaQjbnHCy</t>
  </si>
  <si>
    <t xml:space="preserve">Because I belive the power of connection , Also Have a  real interest in Data science </t>
  </si>
  <si>
    <t xml:space="preserve">Iam displine and eager to grow </t>
  </si>
  <si>
    <t xml:space="preserve">آلاء عادل رجب سعودي </t>
  </si>
  <si>
    <t>01028519126</t>
  </si>
  <si>
    <t>alaaadelsaudi2003@gmail.com</t>
  </si>
  <si>
    <t>https://www.linkedin.com/in/a-laa-adel-saudi7852b4</t>
  </si>
  <si>
    <t>https://drive.google.com/open?id=1sceZcT2_acGx2IeP-uNEtbpg8wgrJczR</t>
  </si>
  <si>
    <t>I want this scholarship because I am highly interested in Artificial Intelligence and Data Science, and I want to strengthen my skills through structured learning and real projects. This scholarship will help me gain practical experience, improve my technical knowledge, and prepare me for my future career in AI</t>
  </si>
  <si>
    <t>You should accept me because I am a motivated and hardworking student with a strong passion for AI and continuous learning. I have the ability to commit to the program, learn quickly, and apply what I learn in real projects. I am eager to improve my skills and make the most out of this opportunity</t>
  </si>
  <si>
    <t>tasneeem magdy</t>
  </si>
  <si>
    <t>01095245178</t>
  </si>
  <si>
    <t>tasneemeltanany5@gmail.com</t>
  </si>
  <si>
    <t>www.linkedin.com/in/tasneem-magdyi</t>
  </si>
  <si>
    <t>https://drive.google.com/open?id=1DRTh0LW091ONQtmV7kam_lhbWZ2pZDW7</t>
  </si>
  <si>
    <t>I am currently working as a Data Analyst, and I see Artificial Intelligence as the natural next step in my professional growth.
Learning AI will allow me to move beyond descriptive and diagnostic analytics into predictive and intelligent systems. I want to deepen my understanding of machine learning models, model evaluation, and real-world AI applications so I can transition smoothly into Data Science.
This scholarship represents a structured, competitive environment where I can challenge myself, collaborate with ambitious peers, and apply AI concepts in practical projects. I am especially excited about the hackathon and the career conference, as they align with my goal of building impactful, real-world AI solutions.</t>
  </si>
  <si>
    <t>As a Data Analyst, I already have a strong foundation in data handling, analysis, and extracting insights from real-world datasets. I understand data preprocessing, visualization, and statistical thinking, which are essential skills in AI and Machine Learning.
I am highly motivated to expand my knowledge and consistently invest in improving my technical skills. I am disciplined, committed, and eager to contribute actively during the program, especially in collaborative projects and the final hackathon.
I am not only looking to learn AI theoretically, but to apply it in practical scenarios and integrate it into my long-term career path toward becoming a Data Scientist.</t>
  </si>
  <si>
    <t>Python Basics, Data Preprocessing, Data Analysis ( using python ), Introduction to Data Engineering ( Theoratical ), Machine Learning</t>
  </si>
  <si>
    <t>https://drive.google.com/open?id=1eKEJujz3BoYO0W2anXXTF4A3PvJdamdp</t>
  </si>
  <si>
    <t xml:space="preserve">To gain knowledge know new people  share my info </t>
  </si>
  <si>
    <t xml:space="preserve">I will do my best to gain knowledge and make projects depend on this knowledge </t>
  </si>
  <si>
    <t>From group</t>
  </si>
  <si>
    <t>Python Basics, Mathematics, Data Preprocessing, Data Analysis ( using python ), Introduction to Data Engineering ( Theoratical ), Machine Learning, Deep Learning, MLOps ( using AWS and/or Huwawie Cloud ), NLP &amp; LLMs, Computer Vision, AI Tools, All AI Topics</t>
  </si>
  <si>
    <t xml:space="preserve">Basel Tarek Osman </t>
  </si>
  <si>
    <t>01025813806</t>
  </si>
  <si>
    <t>baseltarek106@gmail.com</t>
  </si>
  <si>
    <t>www.linkedin.com/in/basel-tarek-044307321</t>
  </si>
  <si>
    <t>https://drive.google.com/open?id=1A1dP2uwd0rBQe2Ah-KcFU7jl4jEljSeZ</t>
  </si>
  <si>
    <t xml:space="preserve">Upgrade my skills </t>
  </si>
  <si>
    <t>Abdalla Ahmed Abuelhadid Mahmoud</t>
  </si>
  <si>
    <t>01098581091</t>
  </si>
  <si>
    <t>abdalla.abuelhadid@gmail.com</t>
  </si>
  <si>
    <t>https://www.linkedin.com/in/abdalla-abuelhadid</t>
  </si>
  <si>
    <t>https://drive.google.com/open?id=1Q5YThZFGvpzCxMgp83UeJ_Y4bPWpicqh</t>
  </si>
  <si>
    <t>Because I am passionate about artificial intelligence and eager to deepen my knowledge in this field. This opportunity will allow me to gain practical skills, work on real projects, and participate in the hackathon, which will help me grow both technically and professionally. I see it as a chance to prepare myself for future career opportunities in AI and contribute meaningfully to the community.</t>
  </si>
  <si>
    <t>Because I am highly motivated, dedicated, and have a strong foundation in AI and programming. I am a fast learner, I enjoy working on challenges, and I actively seek to apply my knowledge in practical projects. I am committed to completing the program successfully and excelling in its activities, and I will make the most of the resources and mentorship provided.</t>
  </si>
  <si>
    <t>Facebook group, LinkedIn</t>
  </si>
  <si>
    <t xml:space="preserve"> Iam very excited about this scholarship and eager to fully commit to learning, participating in the hackathon, and applying the skills in real projects. I am ready to contribute actively and make the most out of this opportunity.</t>
  </si>
  <si>
    <t>Nehal Rezk Afify</t>
  </si>
  <si>
    <t>01119527879</t>
  </si>
  <si>
    <t>Nihalafify8@gmail.com</t>
  </si>
  <si>
    <t>www.linkedin.com/in/nehal-afify-10138b18b</t>
  </si>
  <si>
    <t>https://drive.google.com/open?id=1TDtdeke0AKv-91LBWr-5xk9uuD_KE0zf</t>
  </si>
  <si>
    <t>To get a job offer or internship</t>
  </si>
  <si>
    <t>I am very eager to expand my knowledge about AI and to further my experience. I am consistent and responsible.</t>
  </si>
  <si>
    <t xml:space="preserve">Abdelwahab mohammed Ali </t>
  </si>
  <si>
    <t>01027284513</t>
  </si>
  <si>
    <t>abdelwahabeladawy1611@gmail.com</t>
  </si>
  <si>
    <t>https://drive.google.com/open?id=1fWxx2SRyfwxT40KldgDUruTJBcfnmrMi</t>
  </si>
  <si>
    <t xml:space="preserve">To add a plus value to my CV </t>
  </si>
  <si>
    <t xml:space="preserve">I'm a senior full stack engineer and this scholarship can push my career up </t>
  </si>
  <si>
    <t xml:space="preserve">Thanks a lot </t>
  </si>
  <si>
    <t xml:space="preserve">Batool Medhat Mahmoud </t>
  </si>
  <si>
    <t>01289855058</t>
  </si>
  <si>
    <t>batool.basheer.22@gmail.com</t>
  </si>
  <si>
    <t>https://www.linkedin.com/in/batool-basheer?utm_source=share_via&amp;utm_content=profile&amp;utm_medium=member_android</t>
  </si>
  <si>
    <t>https://drive.google.com/open?id=1hseVDRh7z2vhkWdYYVfbPJVjTCQsokST</t>
  </si>
  <si>
    <t xml:space="preserve">To learn how to create an AI agent and automate certain process in my and other fields </t>
  </si>
  <si>
    <t xml:space="preserve">I have a big passion for AI agents and LLMs and I've previously worked in the field but as a designer but I was always asking the developers questions about the process and how it works </t>
  </si>
  <si>
    <t xml:space="preserve">A referral </t>
  </si>
  <si>
    <t>sohib Mohamed Mohamed Mustafa</t>
  </si>
  <si>
    <t>www.linkedin.com/in/sohib-mohammed-b48bb0282</t>
  </si>
  <si>
    <t>https://drive.google.com/open?id=1WXZBuqghEFdwz5BRvLfYM7Qax0Ga39za</t>
  </si>
  <si>
    <t>I believe I am a strong candidate for this scholarship because of my passion for Artificial Intelligence and my commitment to continuous learning. Over the past year, I have actively pursued knowledge in the field, participated in competitions, and completed multiple AI and programming courses. Currently, I am developing an AI-based business idea for the Hult Prize competition, which gives me practical experience in applying AI to real-world problems. I am eager to apply these skills, engage fully in the program, and contribute positively to collaborative projects and the hackathon. My determination, curiosity, and willingness to take on challenges make me a dedicated and motivated participant.</t>
  </si>
  <si>
    <t xml:space="preserve">I am currently studying Machine Learning and Data Analysis independently. Since the scholarship starts in July, I may have already completed some of the foundational topics by then. Therefore, I would like to kindly ask if it would be possible to adjust my selected topics later to focus on more advanced areas, if needed. </t>
  </si>
  <si>
    <t xml:space="preserve">Mahmoud El-Sayed </t>
  </si>
  <si>
    <t>+201040287163</t>
  </si>
  <si>
    <t>stemmahmoudelsayed@gmail.com</t>
  </si>
  <si>
    <t>https://www.linkedin.com/in/mahmoud-mohamed-42103b25a</t>
  </si>
  <si>
    <t>https://drive.google.com/open?id=1HJ8mnANY4H3ktEjhCp_32wV5f2wQgLVE</t>
  </si>
  <si>
    <t>i want this scholarship cause it will help me move faster toward working in ai which is something i really wanna build my career around
i wanna learn from real experts get real experience and not just study things from the internet only
also i feel this chance can really change my path and help me build stuff that actually matters and help people in real life</t>
  </si>
  <si>
    <t>i'm really passionate about going deeper into ai cause i feel its kinda the future of what i wanna do and im trying hard to get there
with my background in robotics and real world systems i just wanna learn more build cool real stuff and actually help people
i will take this chance serious and gonna put real effort into it and not waste it like at all</t>
  </si>
  <si>
    <t xml:space="preserve">Dina A.Gamaleldin </t>
  </si>
  <si>
    <t>01222333789</t>
  </si>
  <si>
    <t>Dagamal288@gmail.com</t>
  </si>
  <si>
    <t>http://www.linkedin.com/in/dina-a-gamaleldin</t>
  </si>
  <si>
    <t>https://drive.google.com/open?id=1Dr58x2ZgC8oXcF6jqiVGXOYdiy3x1rSG</t>
  </si>
  <si>
    <t xml:space="preserve">Self -development </t>
  </si>
  <si>
    <t xml:space="preserve">I am passionate about learning and growing </t>
  </si>
  <si>
    <t>Python Basics, Data Analysis ( using python ), AI Tools</t>
  </si>
  <si>
    <t xml:space="preserve">Good luck and thank you for the initiative </t>
  </si>
  <si>
    <t xml:space="preserve">Amin Mahmoud Amin taha </t>
  </si>
  <si>
    <t>01019835395</t>
  </si>
  <si>
    <t>mahmoadamin535@gmail.com</t>
  </si>
  <si>
    <t>https://www.linkedin.com/in/amin-mahmoud-a37471305?utm_source=share&amp;utm_campaign=share_via&amp;utm_content=profile&amp;utm_medium=android_app</t>
  </si>
  <si>
    <t>https://drive.google.com/open?id=1UVFSbuvXWZI2lFhCR1iZ-SMZ9_Yim9T9</t>
  </si>
  <si>
    <t>I'm trying to develop myself in all areas. I'm looking for an opportunity to learn artificial intelligence and connect it to my field.</t>
  </si>
  <si>
    <t xml:space="preserve">Because I'm hardworking, I want to seize any opportunity to learn. I try to listen to courses on artificial intelligence on YouTube. </t>
  </si>
  <si>
    <t>Omar garawani</t>
  </si>
  <si>
    <t>01064366332</t>
  </si>
  <si>
    <t>omargarawani@gmail.com</t>
  </si>
  <si>
    <t>https://www.linkedin.com/in/omar-garawani-8aa6a6184/?skipRedirect=true</t>
  </si>
  <si>
    <t>https://drive.google.com/open?id=1H-luw2anJY-kgSRTM9LhtbZD7snq8BBs</t>
  </si>
  <si>
    <t>I want this AI scholarship because I want to build strong and deep skills in artificial intelligence, based on mathematics and statistics. I have been learning AI on my own, but I often felt lost due to the lack of structure and guidance. High-quality learning resources are expensive, and without mentorship, it is difficult to know what to focus on and how deep to go.
I do not want to only use AI tools or pre-built models. I want to understand how AI works from the inside, including probability, linear algebra, optimization, and how models learn from data. As AI is developing very fast, strong fundamentals and correct learning paths are essential.
This scholarship provides structured learning and mentorship, which is exactly what I need to grow efficiently and correctly. I am motivated, disciplined, and ready to put in the effort required to turn my interest in AI into real expertise and create meaningful impact.</t>
  </si>
  <si>
    <t>You should accept me because I have strong knowledge in mathematics, linear algebra, and statistics at an advanced level, which supports my work in artificial intelligence. I study AI almost every day, and I am deeply committed to continuously expanding my knowledge and skills in this field.
AI is my major and my main area of interest. I am highly motivated to learn new and advanced topics and to apply them in real-world, professional projects that can create practical value in the market. I focus on understanding concepts deeply and using them correctly rather than learning them in a shallow way.
With the structured learning and mentorship provided by this scholarship, I am confident that I will make full use of the opportunity, grow efficiently, and contribute meaningfully to both the program and real-world AI applications.</t>
  </si>
  <si>
    <t xml:space="preserve">Omnia Magdy Ibrahim </t>
  </si>
  <si>
    <t>01112422509</t>
  </si>
  <si>
    <t>omniamagdysalem@gmail.com</t>
  </si>
  <si>
    <t>https://www.linkedin.com/in/omnia-magdy09</t>
  </si>
  <si>
    <t>https://drive.google.com/open?id=1wZGVCy-TfW0I0vzBKwxxs_nslMyNJczn</t>
  </si>
  <si>
    <t>It seems like an opportunity to improve my skills and gain valuable experience to be added in my CV and making a meaningful impact in my field</t>
  </si>
  <si>
    <t xml:space="preserve">Because I prefer learning and studying under the guidance of experienced mentors who can direct me right, so I can stay focused and avoid being distracted on my own study </t>
  </si>
  <si>
    <t xml:space="preserve">Nariman Mahmoud Eldaly </t>
  </si>
  <si>
    <t>01142339090</t>
  </si>
  <si>
    <t>mnariman385@gmail.com</t>
  </si>
  <si>
    <t>www.linkedin.com/in/nariman-eldally-642a51251</t>
  </si>
  <si>
    <t>https://drive.google.com/open?id=1W6TdREkJ6JOQTPX37UKhnXtMrnmOPNFc</t>
  </si>
  <si>
    <t xml:space="preserve">to complete the ai track </t>
  </si>
  <si>
    <t>iam a fast learner and hard worker</t>
  </si>
  <si>
    <t>https://drive.google.com/open?id=15ZXdkaTOh57PspXrnk6Rsfecdzx3LwiX</t>
  </si>
  <si>
    <t>I want this scholarship because I really want to improve my skills in Artificial Intelligence and understand how it is used in real life. AI is becoming very important in every field, and I want to be part of this future.
As a Business Technology student, I believe learning AI will help me combine business knowledge with technical skills. This scholarship is a great opportunity for me to learn in a structured way and apply what I learn in practical projects.
I am also excited about the hackathon and the career conference because they will give me real experience and help me connect with companies.
I am ready to work hard, learn continuously, and make the most of this opportunity.</t>
  </si>
  <si>
    <t>because I am truly committed to learning and improving myself. When I start something, I take it seriously and stay consistent until I achieve my goal.
I believe I can add value to the program through my dedication, positive attitude, and willingness to participate actively in the hackathon and other activities.
If selected, I will make the most of this opportunity and represent the scholarship in a professional and responsible way.</t>
  </si>
  <si>
    <t>I heard about this scholarship from a teaching assistant at my college.</t>
  </si>
  <si>
    <t>Thank you for this opportunity. I’m excited about the chance to learn and grow through this program.</t>
  </si>
  <si>
    <t>Yassa Nazeer Gadelrabb</t>
  </si>
  <si>
    <t>01205367154</t>
  </si>
  <si>
    <t>yassanazeer268@gmail.com</t>
  </si>
  <si>
    <t>https://www.linkedin.com/in/yassa-nazeer-07373531b/</t>
  </si>
  <si>
    <t>https://drive.google.com/open?id=1YtwNXkdezKb1Pm658dBq0F2iqetDB91g</t>
  </si>
  <si>
    <t>I am applying for this scholarship because it will help me focus on my academic and professional growth without financial barriers. It aligns with my goals and will give me access to quality education, mentorship, and a strong professional network.</t>
  </si>
  <si>
    <t>You should accept me because I am hardworking, disciplined, and committed to excellence. I always seek growth and aim to contribute positively to any community I join. I will represent this scholarship with dedication and responsibility.</t>
  </si>
  <si>
    <t xml:space="preserve">Mohamed Ragab Mahmoud </t>
  </si>
  <si>
    <t>01143151593</t>
  </si>
  <si>
    <t>rjbm4264@gmail.com</t>
  </si>
  <si>
    <t>https://www.linkedin.com/in/mohamed-ragab-8b7aa8240?utm_source=share_via&amp;utm_content=profile&amp;utm_medium=member_android</t>
  </si>
  <si>
    <t>https://drive.google.com/open?id=1rDqrlIvFLiyZoplVCQW2l1ZcWosG53lN</t>
  </si>
  <si>
    <t>To develop myself and gain experience</t>
  </si>
  <si>
    <t>Because I have prior experience</t>
  </si>
  <si>
    <t xml:space="preserve">Alaa Soudy Ibrahim Ibrahim </t>
  </si>
  <si>
    <t>01114435410</t>
  </si>
  <si>
    <t>alaasoudy227@gmail.com</t>
  </si>
  <si>
    <t>https://www.linkedin.com/in/alaa-soudy-65378a288</t>
  </si>
  <si>
    <t>https://drive.google.com/open?id=1GjPzMEODUba9SCuJkoP5n_A9QkQOJEkX</t>
  </si>
  <si>
    <t>want this scholarship because I am very interested in Artificial Intelligence and I want to improve my skills in Machine Learning and practical applications. I believe this program will help me grow technically and gain real experience.</t>
  </si>
  <si>
    <t>I am a committed and hardworking student with a good programming background, and I am ready to put real effort into learning and participating actively in all activities.</t>
  </si>
  <si>
    <t>You can find my portfolio here:  https://my-portfolio-b3s7.vercel.app/</t>
  </si>
  <si>
    <t xml:space="preserve">Omar Hussein Ahmed </t>
  </si>
  <si>
    <t>01019733887</t>
  </si>
  <si>
    <t xml:space="preserve">Omar.hussein.cs.2025@gmail.com </t>
  </si>
  <si>
    <t>https://www.linkedin.com/in/omar-hussein-ahmed-b906a0356</t>
  </si>
  <si>
    <t>https://drive.google.com/open?id=1eupmcH75IOQ6nzM9il_b4mRUoXhmOBfk</t>
  </si>
  <si>
    <t>Because this is my field of study and the future of modern work.</t>
  </si>
  <si>
    <t>Because I am hardworking and committed.</t>
  </si>
  <si>
    <t xml:space="preserve">On thanks </t>
  </si>
  <si>
    <t>Mohab Magdy</t>
  </si>
  <si>
    <t>01141369863</t>
  </si>
  <si>
    <t>mohabmagdy2999@gmail.com</t>
  </si>
  <si>
    <t>https://www.linkedin.com/in/mohab-magdy?utm_source=share_via&amp;utm_content=profile&amp;utm_medium=member_android</t>
  </si>
  <si>
    <t>https://drive.google.com/open?id=1EIMYa5ZsPPqHL_yE_tRz8WoZ1RbRU8kP</t>
  </si>
  <si>
    <t>As a Business Analyst and Product Owner, I work closely with requirements, processes, and digital solutions. This scholarship will help me move from understanding AI conceptually to applying it practically in real business environments, creating measurable impact and long-term value.</t>
  </si>
  <si>
    <t>I combine strong analytical thinking with real-world business experience. I’m used to translating complex requirements into structured, actionable solutions—this mindset aligns perfectly with learning and applying AI effectively. 
I’m not looking to study AI for theoretical knowledge only. My goal is to integrate it into real products and operational processes, improving decision-making and efficiency. I am disciplined, self-driven, and committed to continuous growth, and I will actively apply what I learn to create tangible impact in my field.</t>
  </si>
  <si>
    <t>I'm following Eng., Ahmed Hafez profile</t>
  </si>
  <si>
    <t>I appreciate your time and am excited to contribute to the program</t>
  </si>
  <si>
    <t>Omnia Hussein Ali Abdallah</t>
  </si>
  <si>
    <t>01061383753</t>
  </si>
  <si>
    <t>omnia.hussein.ali.95@gmail.com</t>
  </si>
  <si>
    <t>https://www.linkedin.com/in/omnia-hussein-6480b6238</t>
  </si>
  <si>
    <t>https://drive.google.com/open?id=1arNTct26z8OYDg3HRywLVwvlKqIE0vZP</t>
  </si>
  <si>
    <t>I want this scholarship because I’m really interested in AI and I want to build stronger technical skills in this field. I believe AI will be essential in the future, especially in finance and business, and I want to be part of that transformation.</t>
  </si>
  <si>
    <t>I’m serious about learning and I always commit to what I start. I have an analytical background from my work in credit risk, and I’m already developing my data and AI skills. I will actively participate and make the most out of this opportunity.</t>
  </si>
  <si>
    <t>I heard about this scholarship through LinkedIn (Aitronix).</t>
  </si>
  <si>
    <t>No.</t>
  </si>
  <si>
    <t>Abdelrahman Mohamed Sherif</t>
  </si>
  <si>
    <t>01097378995</t>
  </si>
  <si>
    <t>shryfb604@gmail.com</t>
  </si>
  <si>
    <t>www.linkedin.com/in/abdelrahman-sherif-8a4a8b241</t>
  </si>
  <si>
    <t>https://drive.google.com/open?id=1qiDmxDshns2lx_UqPbKCAJDknhiye-fk</t>
  </si>
  <si>
    <t>I am applying for this AI scholarship because I am passionate about Artificial Intelligence and its real-world impact. As a Computer Science student, I have built a solid foundation in Machine Learning and Data Analysis through certifications and hands-on projects. I believe this scholarship will provide structured mentorship and advanced practical experience that will help me grow into a professional AI engineer and work on impactful, real-world solutions.</t>
  </si>
  <si>
    <t>You should accept me because I combine strong technical foundations with proven hands-on experience in Machine Learning and Data Analysis. I have developed projects in fraud detection and predictive modeling, and participated in the NASA International Space Apps Challenge as a Machine Learning and Data Analyst, where I worked on planetary weather prediction models.
I am currently undergoing advanced Machine Learning training with NTI, and I have completed recognized certifications from Microsoft (Sprint Program) and the IBM SQL course on Coursera, strengthening both my analytical and technical capabilities.
I am disciplined, highly motivated, and committed to continuous growth. If selected, I will maximize this opportunity and contribute with dedication, teamwork, and strong technical performance.</t>
  </si>
  <si>
    <t>Artificial Intelligence is not just a field of study for me; it is a long-term career goal. I am consistently pushing myself beyond academic requirements through real-world projects and competitive challenges. If given this opportunity, I will approach it with full commitment, curiosity, and a strong desire to grow and contribute.</t>
  </si>
  <si>
    <t xml:space="preserve">Farouk Nasser Abdallah Khadr </t>
  </si>
  <si>
    <t>01123051439</t>
  </si>
  <si>
    <t>farouknasser538@gmail.com</t>
  </si>
  <si>
    <t>https://www.linkedin.com/in/farouk-nasser-b21473317?utm_source=share&amp;utm_campaign=share_via&amp;utm_content=profile&amp;utm_medium=android_app</t>
  </si>
  <si>
    <t>https://drive.google.com/open?id=1Hc6ienXc9hPhM4DcnJHyG1uVVdoZD8X9</t>
  </si>
  <si>
    <t>Because it will give me the opportunity to improve my technical expertise in AI and programming as this is my track in my college</t>
  </si>
  <si>
    <t>You should accept me because I am dedicated, hardworking, and passionate about learning I am currently building my skills step by step and I am committed to continuous improvement</t>
  </si>
  <si>
    <t>in linkedIn</t>
  </si>
  <si>
    <t>Thank you for considering my application .If accepted, I will give my best effort and represent the scholarship in a professional way</t>
  </si>
  <si>
    <t>yousef mohamed bayomi</t>
  </si>
  <si>
    <t>01122112310</t>
  </si>
  <si>
    <t>usefmohank@gmail.com</t>
  </si>
  <si>
    <t>https://www.linkedin.com/in/yousef-mohamed-70ba6b26b/</t>
  </si>
  <si>
    <t>https://drive.google.com/open?id=1tMSA9Ygg1hKnuqI0OiZ1oOj78m4yYfzw</t>
  </si>
  <si>
    <t xml:space="preserve">get a job </t>
  </si>
  <si>
    <t xml:space="preserve">fast learner and willing to do what it takes to succeed </t>
  </si>
  <si>
    <t>-</t>
  </si>
  <si>
    <t>Mohammed Ahmed Mahgoub</t>
  </si>
  <si>
    <t>01206274154</t>
  </si>
  <si>
    <t>mohammed.mahgoub.c@gmail.com</t>
  </si>
  <si>
    <t>https://www.linkedin.com/in/mohammdahmedmahgoup</t>
  </si>
  <si>
    <t>https://drive.google.com/open?id=1UHeX7vFO-1oYkqOtDJL3naKm_PlozAix</t>
  </si>
  <si>
    <t>As a final-year Mechatronics student graduating this June, I view this scholarship as a vital bridge to my professional career. My recent success in winning 1st Place overall and 1st in the Telemedicine track at the Benha University Healthcare Hackathon (2026) for my 'Smart Pharmacy' project proved that the market urgently needs AI-driven automation. This project integrates Computer Vision for prescription recognition and an intelligent system for drug interaction alerts. While my current internship at DEPI provides me with essential AI foundations, I seek this scholarship for its hybrid, interactive environment and expert mentorship to transition from basic understanding to deep technical mastery. I am specifically interested in the Hackathon and Internship opportunities offered, as they provide the ideal platform for a fresh graduate to apply AI-driven control and Industry 4.0 in real-world scenarios. My ultimate goal is to find a professional environment that adopts my innovative ideas and supports my growth as a fresh graduate in this specialized field, turning my winning prototype into a sophisticated, market-ready solution.</t>
  </si>
  <si>
    <t>Bridging the gap between advanced AI algorithms and physical industrial systems is where my true strength lies. As a proven innovator with a track record of excellence, evidenced by my recent 1st Place win at the Benha University Healthcare Hackathon 2026, I do not just study AI; I apply it to solve real-world industrial and service challenges. My project concept, a fully automated Smart Pharmacy using Computer Vision, is a testament to my ability to innovate and design solutions under pressure. With hands-on expertise in PLC, CNC, and Embedded Systems, I offer a practical engineering perspective that is rare in AI applicants. By the time this program begins, I will have completed my DEPI internship, ensuring that I join your cohort with a high level of technical maturity and rational, high-level questions derived from my experience with Deep Learning and Computer Vision. I am a dedicated, result-oriented engineer seeking a high-level environment to scale my projects and contribute to the scholarship’s collaborative and innovative community.</t>
  </si>
  <si>
    <t>Big thanks for your efforts.</t>
  </si>
  <si>
    <t>www.linkedin.com/in/mohammad-almukadam</t>
  </si>
  <si>
    <t>https://drive.google.com/open?id=1K5RILy4YxHjW8FUl30nAuhCJD5htvILY</t>
  </si>
  <si>
    <t>I want to improve my skills in AI and Data fields.</t>
  </si>
  <si>
    <t>I am excited about this opportunity and will demonstrate my commitment to the lectures and assignments.</t>
  </si>
  <si>
    <t xml:space="preserve">Ahmed Shehab Eldeen Ahmed Nour Eldeen Fahmy Ismail </t>
  </si>
  <si>
    <t>01023366797</t>
  </si>
  <si>
    <t>ahmedshehabds2@gmail.com</t>
  </si>
  <si>
    <t>https://www.linkedin.com/in/ahmed-shehab123/</t>
  </si>
  <si>
    <t>https://drive.google.com/open?id=1PKvtzB9UwyAQvwxoLn-zltGjKGknoU3N</t>
  </si>
  <si>
    <t>I want this scholarship because I am particularly interested in Computer Vision and advanced AI topics. I aim to build a strong technical foundation in areas such as image processing, deep learning, and real-world visual data analysis. I am looking for structured, in-depth learning that goes beyond surface-level knowledge.</t>
  </si>
  <si>
    <t>I bring consistency, discipline, and execution. If selected, I will perform.</t>
  </si>
  <si>
    <t>I learned about this scholarship through a friend who recommended it to me.</t>
  </si>
  <si>
    <t>No additional notes. Looking forward to contributing and performing at a high level.</t>
  </si>
  <si>
    <t>Asmaa Essam Mohamed Mahmoud</t>
  </si>
  <si>
    <t>01062323780</t>
  </si>
  <si>
    <t>asmaaessam2005@gmail.com</t>
  </si>
  <si>
    <t>https://www.linkedin.com/in/asmaa-essam-19bb5b314/</t>
  </si>
  <si>
    <t>https://drive.google.com/open?id=1is2KvaZOB-3_3YIOkKLawFIp8b4Jds54</t>
  </si>
  <si>
    <t>This scholarship represents a valuable opportunity for me to develop my technical and analytical skills at a higher level, I am passionate about dealing with data like in data analysis, data science concepts and I love managing data and make it meaningful so I am sure that this opportunity will elevate my skill level.</t>
  </si>
  <si>
    <t>Since I am very passionate about data science and data analysis I will do my best to get the best out of this scholarship, I am highly motivated, disciplined, and committed to continuous learning and improving my data handling skills, in addition to my professional experience as a secretary where I developed strong communication, and data-handling skills, I will dedicate my efforts to contribute positively and work hard to get the best possible outcome.</t>
  </si>
  <si>
    <t>LinkedIn - Aitronix</t>
  </si>
  <si>
    <t>Python Basics, Mathematics, Data Preprocessing, Data Analysis ( using python ), Introduction to Data Engineering ( Theoratical )</t>
  </si>
  <si>
    <t>Thank you for considering my application and for your time.</t>
  </si>
  <si>
    <t>Hassan Sherif</t>
  </si>
  <si>
    <t>01097840025</t>
  </si>
  <si>
    <t>hassanshiref7@gmail.com</t>
  </si>
  <si>
    <t>https://www.linkedin.com/in/hassan-sherif-956ab0265?utm_source=share&amp;utm_campaign=share_via&amp;utm_content=profile&amp;utm_medium=ios_app</t>
  </si>
  <si>
    <t>https://drive.google.com/open?id=1dDs3FgzYyWjdU8knrwbXFgEq5I36BAkB</t>
  </si>
  <si>
    <t>Gaining experience and the way of working in the field reality</t>
  </si>
  <si>
    <t>Because i want this</t>
  </si>
  <si>
    <t>I know engineer Ahmed Hafez and my son, I deal with him</t>
  </si>
  <si>
    <t>https://drive.google.com/open?id=1LzK02uL20HpBQ_D_jJpyKXjYypM2Mh-5</t>
  </si>
  <si>
    <t>Because I am truly committed to learning and improving myself. When I start something, I take it seriously and stay consistent until I achieve my goal.
I am eager to learn Artificial Intelligence and apply it in real projects, not just study it theoretically. I am also open to teamwork, feedback, and continuous improvement.
I believe I can add value to the program through my dedication, positive attitude, and willingness to participate actively in the hackathon and other activities.
If selected, I will make the most of this opportunity and represent the scholarship in a professional and responsible way.</t>
  </si>
  <si>
    <t>Thank you for providing this opportunity. I am really looking forward to being part of this scholarship and gaining valuable knowledge and experience in Artificial Intelligence.</t>
  </si>
  <si>
    <t>Abdulrahman Sayed</t>
  </si>
  <si>
    <t>01120824518</t>
  </si>
  <si>
    <t>abdelrahmansayed01120824518@gmail.com‏</t>
  </si>
  <si>
    <t>https://www.linkedin.com/in/abdulrahman-sayed-elashry/</t>
  </si>
  <si>
    <t>https://drive.google.com/open?id=13jYCgCVWXFQ7da2x1TMTIAGhSK8pof1z</t>
  </si>
  <si>
    <t>to improve my skills</t>
  </si>
  <si>
    <t>will be happy and study hard</t>
  </si>
  <si>
    <t>Ibrahim Ashraf Abdel Muti</t>
  </si>
  <si>
    <t>01008558740</t>
  </si>
  <si>
    <t>ibrahimashraf.vp@gmail.com</t>
  </si>
  <si>
    <t>https://www.linkedin.com/in/ibrahimashraf-abdelmuti</t>
  </si>
  <si>
    <t>https://drive.google.com/open?id=1y6erC2xQAYwppnaG_N7dDrRrxZtSl8zJ</t>
  </si>
  <si>
    <t>I learning Data Analyst in Coursera in many courses but I need leader to le</t>
  </si>
  <si>
    <t>I am applying to this scholarship because I want to move from traditional data analysis to intelligent AI-driven solutions.
With my background in SQL, data analysis, and business problem solving, I already understand how data creates value. This program will allow me to extend that knowledge into machine learning, deep learning, and advanced AI systems.
I am highly motivated by the hackathon and career conference because I believe learning should always lead to real-world application.
I am committed, performance-driven, and ready to contribute to the program with both dedication and strong analytical thinking.</t>
  </si>
  <si>
    <t xml:space="preserve">Thanks Aitronix </t>
  </si>
  <si>
    <t>mohamed mohab moahmed</t>
  </si>
  <si>
    <t>01080678601</t>
  </si>
  <si>
    <t>mohamedmohabcv111@gmail.com</t>
  </si>
  <si>
    <t>https://www.linkedin.com/in/mohamedmohabb/</t>
  </si>
  <si>
    <t>https://drive.google.com/open?id=1SECKB6HCz1DX-pheoVwftPECGdreu-7b</t>
  </si>
  <si>
    <t>Im so excited to start my journey in getting to know how Ai works my long term goal is to become an  ai engineer im passionate about the concept of ai and how it helps people be more efficient , how it can be used to solve real-world problems also how it helps automate repetitive tasks</t>
  </si>
  <si>
    <t>you should accept me because im disciplined , highly motivated and commited to continues so i can achieve my long term goal . i have consistently worked on my technical skills through hand on projects in programming . im not only intrested in ai theoretically but i want to apply it in real world scenarios so it helps people with their day to day activities and create a positive impact on the world</t>
  </si>
  <si>
    <t>from a friend</t>
  </si>
  <si>
    <t>im ready and excited to start this scholarship</t>
  </si>
  <si>
    <t xml:space="preserve">Mohamed Maher Kassab </t>
  </si>
  <si>
    <t>01001399035</t>
  </si>
  <si>
    <t>m.kassab934@gmail.com</t>
  </si>
  <si>
    <t>https://www.linkedin.com/in/mohamedkaasab?utm_source=share_via&amp;utm_content=profile&amp;utm_medium=member_android</t>
  </si>
  <si>
    <t>https://drive.google.com/open?id=1bxNkpA2wsLocb3-sYhlj45_Gf3hqJTl5</t>
  </si>
  <si>
    <t>To be qualified for a job</t>
  </si>
  <si>
    <t>I should be accepted for this AI teaching scholarship because I combine strong technical foundations with a real passion for explaining complex ideas in a simple, practical way. I am already building my path in data analysis and machine learning, and I actively work on real projects, not just theoretical study. That gives me practical insight I can transfer to learners</t>
  </si>
  <si>
    <t>Nader Mohamed</t>
  </si>
  <si>
    <t>01080122169</t>
  </si>
  <si>
    <t>naderelakany@gmail.com</t>
  </si>
  <si>
    <t>https://www.linkedin.com/in/nadermohamed7/</t>
  </si>
  <si>
    <t>https://drive.google.com/open?id=1s_doi9tRUWjs14aFrS8tmmiu2KpjBh8T</t>
  </si>
  <si>
    <t>to gain knowledge as an AI student</t>
  </si>
  <si>
    <t xml:space="preserve">Because i want to benefit from it and be better in my field </t>
  </si>
  <si>
    <t xml:space="preserve">Yassen Mahmoud Mostafa </t>
  </si>
  <si>
    <t>01020860783</t>
  </si>
  <si>
    <t>yasoo.study.1@gmail.com</t>
  </si>
  <si>
    <t>https://www.linkedin.com/in/yassen-mahmoud-mostafa-6a328a2a3?utm_source=share&amp;utm_campaign=share_via&amp;utm_content=profile&amp;utm_medium=android_app</t>
  </si>
  <si>
    <t>https://drive.google.com/open?id=16apKqgwxBtiKHaBeILla3KJSehslZTqp</t>
  </si>
  <si>
    <t>to have more skills related to AI</t>
  </si>
  <si>
    <t xml:space="preserve">you will gain someone who is enthusiastic about the field and proactive </t>
  </si>
  <si>
    <t>Mathematics, Machine Learning, Deep Learning, MLOps ( using AWS and/or Huwawie Cloud ), NLP &amp; LLMs, Agentic AI, AI Tools, All AI Topics</t>
  </si>
  <si>
    <t>i hope i am one of your choices</t>
  </si>
  <si>
    <t>Abdelrhman Al Ghonimi</t>
  </si>
  <si>
    <t>01018019088</t>
  </si>
  <si>
    <t>abdelrhmanalghonimi@gmail.com</t>
  </si>
  <si>
    <t>https://www.linkedin.com/in/abdelrhman-al-ghonimi/</t>
  </si>
  <si>
    <t>https://drive.google.com/open?id=1n6ectKm9vErYBEOcmiz2KTb7UpKxpkq6</t>
  </si>
  <si>
    <t xml:space="preserve">I want this scholarship to build a strong foundation in Artificial Intelligence and move from self-learning to real practical experience through mentorship and projects. My goal is to apply AI to solve real-world problems and develop professional-level skills.
</t>
  </si>
  <si>
    <t xml:space="preserve">I am consistent, committed, and serious about learning. I actively practice what I study and continuously improve my skills. I will fully utilize the opportunity and contribute positively to the learning environment.
</t>
  </si>
  <si>
    <t>Mohamed Ahmed Mohamed Abd El-aziz</t>
  </si>
  <si>
    <t>01224251326</t>
  </si>
  <si>
    <t>mohamed.abdelazizz154@gmail.com</t>
  </si>
  <si>
    <t>https://www.linkedin.com/in/mohamed-abd-el-azizz/</t>
  </si>
  <si>
    <t>https://drive.google.com/open?id=1gvPakOG0-JT_wmuU_fWvzMa20cNExMUE</t>
  </si>
  <si>
    <t>Because I am serious about developing myself in my field and building a strong foundation. I want to enter the job market well-prepared and confident in my skills. This opportunity will help me grow faster and gain the practical experience I need to stand on solid ground in my career.</t>
  </si>
  <si>
    <t>Because I am committed to my growth and always give my full effort. I constantly work on improving my skills and pushing myself to be better.
If I get this opportunity, I will make the most of it. I believe it will help me enter the job market and secure my first job after graduation with strong preparation and confidence.</t>
  </si>
  <si>
    <t>through LinkedIn, and I also have a friend who is currently taking a course (Advanced AI) at AitroniX. He spoke very positively about the experience, which made me more interested in applying.</t>
  </si>
  <si>
    <t>FatmaElzahraa Ibrahim Ahmed Mohamed Wahby</t>
  </si>
  <si>
    <t>01031449791</t>
  </si>
  <si>
    <t>Fatmawahbe20@gmail.com</t>
  </si>
  <si>
    <t>https://www.linkedin.com/in/fatma-wahby-91240a389?utm_source=share_via&amp;utm_content=profile&amp;utm_medium=member_android</t>
  </si>
  <si>
    <t>https://drive.google.com/open?id=1dU7HDFtsqIbz6HSNW__pTv-Fbt1kkrvJ</t>
  </si>
  <si>
    <t xml:space="preserve">As a Computer Science student , I've spent the past few years building a solid foundation in programming and AI basics. However, I believe there's a significant gap between academic theories and the fast paced industry requirements. I want this scholarship to bridge that gap. I'm specifically interested in the hands on approach Aitronix offers, especially the hackathon and the job fair. I want to challenge myself, learn from experts, and work on real-world AI applications rather than just following online tutorials.
</t>
  </si>
  <si>
    <t xml:space="preserve">I am a dedicated learner with a proven track record of completing complex coursework and technical projects. I have already gained practical experience in Python, Machine Learning, and Cloud services like AWS. Beyond my technical skills, I am a problem solver who thrives in competitive environments which is why the hackathon part of this scholarship excites me. I am not just looking for a certificate  I am looking for a platform where I can contribute my energy, collaborate with others, and eventually represent the scholarship as a high performing AI professional.
</t>
  </si>
  <si>
    <t>I am highly committed to the full duration of the scholarship and the final hackathon. I’ve already balanced my university studies with intensive programs like NTI and Rowad Misr, so I am well-prepared for the workload and eager to contribute to the Aitronix community.</t>
  </si>
  <si>
    <t xml:space="preserve">Mariam Tarek Salama Ali </t>
  </si>
  <si>
    <t>01096851319</t>
  </si>
  <si>
    <t>mariamtareksalama@gmail.com</t>
  </si>
  <si>
    <t>https://www.linkedin.com/in/mariam-tarek-498715312?utm_source=share_via&amp;utm_content=profile&amp;utm_medium=member_android</t>
  </si>
  <si>
    <t>https://drive.google.com/open?id=1q4oIexqykTOhwGSM3bPLuBAt06FmGxUE</t>
  </si>
  <si>
    <t>I really want this scholarship because it will give me the chance to learn and grow in  Data Analysis,AI and so on. I’m excited to apply what I learn to real projects and improve my skills. This opportunity will help me get closer to my goal of becoming a professional in this field and making a positive impact with what I do.</t>
  </si>
  <si>
    <t>I think you should accept me because I’m really interested in both AI and data analysis. I’ve worked on projects using Power BI, Tableau, and Python, and I’ve started exploring AI tools as well. I’m eager to learn more and use these skills to solve real problems. I’m excited to contribute and grow through this program.</t>
  </si>
  <si>
    <t xml:space="preserve">My University </t>
  </si>
  <si>
    <t>I’m interested in AI and data analysis and eager to improve my skills. Thank you for your consideration.</t>
  </si>
  <si>
    <t>Mariam Tarek Salama Ali</t>
  </si>
  <si>
    <t>https://drive.google.com/open?id=1CJHbmi5ISLiOGbUowg61wne_ojn4CKPn</t>
  </si>
  <si>
    <t xml:space="preserve">My university </t>
  </si>
  <si>
    <t xml:space="preserve">Mostafa Saleh </t>
  </si>
  <si>
    <t>01123341905</t>
  </si>
  <si>
    <t>mostafaelsatter@gmail.com</t>
  </si>
  <si>
    <t>https://www.linkedin.com/in/mostafaelsatter/</t>
  </si>
  <si>
    <t>https://drive.google.com/open?id=1aamsX4y5ncpHVHiCbfau6N0LC4T4ov1H</t>
  </si>
  <si>
    <t xml:space="preserve">for building AI-model environmental contamination detection </t>
  </si>
  <si>
    <t xml:space="preserve">I have a wide background in artificial intelligence. I have already taken concrete steps toward my goal by developing an AI-based contamination detection model (CMA1) trained on real laboratory data, demonstrating both initiative and technical capability. But I still  need to build huge projects with AI   </t>
  </si>
  <si>
    <t>Data Preprocessing, Data Analysis ( using python ), Machine Learning, Deep Learning, NLP &amp; LLMs, Agentic AI</t>
  </si>
  <si>
    <t>Alaa Ahmed</t>
  </si>
  <si>
    <t>01121150072</t>
  </si>
  <si>
    <t>alaaemam9876@gmail.com</t>
  </si>
  <si>
    <t>www.linkedin.com/in/alaaahmed7</t>
  </si>
  <si>
    <t>https://drive.google.com/open?id=1uFMOEcSe82yJVnzYYJK2JV-Wl2L5OHWG</t>
  </si>
  <si>
    <t>I am applying for this scholarship as a student at the Faculty of Computers and Artificial Intelligence to further develop my skills in this field. This opportunity will help me gain practical experience, learn modern tools, and improve my technical level, bringing me closer to my career goals.</t>
  </si>
  <si>
    <t>You should accept me because I am highly passionate about the field of Computers and Artificial Intelligence and fully committed to making the most of this opportunity. I am eager to learn, dedicated to improving my skills, and motivated to apply what I gain from this scholarship to achieve meaningful progress in my field.</t>
  </si>
  <si>
    <t>Mohamed Hamada Hussein Elsamra</t>
  </si>
  <si>
    <t>01010387645</t>
  </si>
  <si>
    <t>mohamedelsamra.me@gmail.com</t>
  </si>
  <si>
    <t>https://www.linkedin.com/in/mohamed-elsamra-68570b109?utm_source=share_via&amp;utm_content=profile&amp;utm_medium=member_android</t>
  </si>
  <si>
    <t>https://drive.google.com/open?id=17n1ruH5LYyCRcq_2__7bkzZPGj9Mv5ws</t>
  </si>
  <si>
    <t>I have a passion for AI and I want to become AI Engineer and to build models able to make life and work for people easier, I'm interested in learning machine learning and NLP and after I reviewed the content of the diploma it includes everything and I want to learn.</t>
  </si>
  <si>
    <t>Because I believe my IT study and my programming background makes me an excellent candidate who will thrive in your program and contribute meaningfully to the AI community.</t>
  </si>
  <si>
    <t>I know I'm 34 years old but you need to know I'm passion and eager to learn and I'm sure if you accept me isa I will be one of the top students in this diploma thank you🙏</t>
  </si>
  <si>
    <t xml:space="preserve">Ali Elsayed Mahmoud Elgazzar </t>
  </si>
  <si>
    <t>01277426289</t>
  </si>
  <si>
    <t>eng.alielgazzar150@gmail.com</t>
  </si>
  <si>
    <t>https://www.linkedin.com/in/eng-ali-elgazzar-3ab02922a?utm_source=share&amp;utm_campaign=share_via&amp;utm_content=profile&amp;utm_medium=android_app</t>
  </si>
  <si>
    <t>https://drive.google.com/open?id=1pBQzh4cX3ezHKxzU90iqnDZ9-fOcVT7i</t>
  </si>
  <si>
    <t>To be able to enter the job marke</t>
  </si>
  <si>
    <t>because I have the solid experience in this field, and i want to grow to get the frist job offer</t>
  </si>
  <si>
    <t>Aisha Ramadan</t>
  </si>
  <si>
    <t>01017338860</t>
  </si>
  <si>
    <t>aysharamadan109@gmail.com</t>
  </si>
  <si>
    <t>https://www.linkedin.com/in/aisha-ramadan-1809592b0/</t>
  </si>
  <si>
    <t>https://drive.google.com/open?id=1LXTwz5TJrH3hVEuy8CsGYyu4GF8HSVtm</t>
  </si>
  <si>
    <t>I am passionate about learning AI and eager to build a strong foundation in this field. Being guided by experienced mentors through this scholarship will provide me with the knowledge, practical skills, and direction I need to grow and contribute effectively in AI projects. This opportunity will accelerate my learning and help me achieve my career goals.</t>
  </si>
  <si>
    <t>I am eager to advance my skills in AI and have already taken my first steps in learning Python. As a Computer Science student, I have a solid programming foundation and experience in problem-solving, which allows me to quickly grasp new concepts. This scholarship will help me build on my existing knowledge, gain practical experience, and accelerate my journey in AI. I am committed to making the most of this opportunity and contributing actively during the program</t>
  </si>
  <si>
    <t>Menna Allah Khalid Mohamed Rashwan</t>
  </si>
  <si>
    <t>01092961840</t>
  </si>
  <si>
    <t>menna.rashwan4@gmail.com</t>
  </si>
  <si>
    <t>https://www.linkedin.com/public-profile/settings/?trk=d_flagship3_profile_self_view_public_profile&amp;lipi=urn%3Ali%3Apage%3Ad_flagship3_profile_view_base%3BNEn4U%2F2eTJqAUVgsCHn0bA%3D%3D</t>
  </si>
  <si>
    <t>https://drive.google.com/open?id=1kI8GIYzisK4AVuDusN0uWGdmMDed87rh</t>
  </si>
  <si>
    <t>To do many projects and bulid professional Cv</t>
  </si>
  <si>
    <t xml:space="preserve">I have many experiences at Ai ( Data science DEPI </t>
  </si>
  <si>
    <t>Post linkedIn</t>
  </si>
  <si>
    <t>Python Basics, Data Analysis ( using python ), Machine Learning, Agentic AI</t>
  </si>
  <si>
    <t>Mohamed Hesham</t>
  </si>
  <si>
    <t>01550053693</t>
  </si>
  <si>
    <t>mohishamwork@gmail.com</t>
  </si>
  <si>
    <t>https://www.linkedin.com/in/moohamed-hesham/</t>
  </si>
  <si>
    <t>https://drive.google.com/open?id=1K1xNL_8AmyTt27gcNyu6zV_UvOMS_D94</t>
  </si>
  <si>
    <t>I am a fresh graduate and I have knowledge and am proficient in data analysis, so I need to increase my knowledge in AI because I intend to prepare master's in AI in Germany inshallah</t>
  </si>
  <si>
    <t xml:space="preserve">For chasing my goal, I will be very curious about following this course with passion </t>
  </si>
  <si>
    <t>Facebook, LinkedIn</t>
  </si>
  <si>
    <t xml:space="preserve">Thanks for this chance </t>
  </si>
  <si>
    <t>Ganna Zayed Sabahy</t>
  </si>
  <si>
    <t>01096668028</t>
  </si>
  <si>
    <t>gannasabahy9@gmail.com</t>
  </si>
  <si>
    <t>www.linkedin.com/in/ganna-sabahy-136883274</t>
  </si>
  <si>
    <t>https://drive.google.com/open?id=1qTo1yBMMqRKkEDBdK-j-JYVgg2LSY5WT</t>
  </si>
  <si>
    <t>because i'm a fresh graduate and i'm searching for good opportunities</t>
  </si>
  <si>
    <t>i have a great passion and you'll find me a keen learner and i already have some knowledge</t>
  </si>
  <si>
    <t>MLOps ( using AWS and/or Huwawie Cloud ), NLP &amp; LLMs, AI Tools</t>
  </si>
  <si>
    <t xml:space="preserve">Mayar Mahmoud abdelhameed elhelw </t>
  </si>
  <si>
    <t>01208818001</t>
  </si>
  <si>
    <t>miarelhelw071@gmail.com</t>
  </si>
  <si>
    <t>https://www.linkedin.com/in/miar-elhelw-113700277?utm_source=share_via&amp;utm_content=profile&amp;utm_medium=member_android</t>
  </si>
  <si>
    <t>https://drive.google.com/open?id=15gDen5uW2gtTwhbpz-FmbnSXfGM3vH2z</t>
  </si>
  <si>
    <t>I want to join this AI scholarship because I am deeply passionate about Artificial Intelligence and its real-world impact. As a Computer Science graduate, I have studied the fundamentals, but I believe structured mentorship and hands-on projects are what will truly elevate my skills.
This scholarship represents a great opportunity for me to strengthen my practical experience, work on real AI challenges, and become industry-ready. I am especially interested in improving my knowledge in machine learning, model optimization, and real-world deployment.
I see this program not only as a learning opportunity but as a step toward becoming a strong AI professional who can contribute meaningfully to the tech community.</t>
  </si>
  <si>
    <t>You should accept me because I am committed, disciplined, and genuinely motivated to grow in the AI field. I consistently challenge myself by solving machine learning problems, studying advanced concepts, and preparing for technical interviews.
I am not looking for just a certificate; I am looking for transformation. I am ready to dedicate the required time and effort to fully benefit from this opportunity. I also enjoy sharing knowledge, which allows me to add value to any learning community I join.
If selected, I will represent the program with dedication, hard work, and continuous improvement.</t>
  </si>
  <si>
    <t>I’m excited about the opportunity and ready to contribute fully</t>
  </si>
  <si>
    <t xml:space="preserve">Ali Gamal Abd ElFattah </t>
  </si>
  <si>
    <t>01001006581</t>
  </si>
  <si>
    <t>alygamal.m@gmail.com</t>
  </si>
  <si>
    <t>https://www.linkedin.com/in/ali-gamal-12014720b?utm_source=share&amp;utm_campaign=share_via&amp;utm_content=profile&amp;utm_medium=ios_app</t>
  </si>
  <si>
    <t>https://drive.google.com/open?id=1SjWQrDj7BwSvMq1zU9XY-VINVf64ntku</t>
  </si>
  <si>
    <t xml:space="preserve">To learn more about AI, in terms of how to use it in a useful way, how to make tasks more easier and efficient and to help individuals and organization rise using it  </t>
  </si>
  <si>
    <t xml:space="preserve">Am keen on learning, hard working, always happy to help others and most important motivated to be the best </t>
  </si>
  <si>
    <t xml:space="preserve">A friend recommendation </t>
  </si>
  <si>
    <t>Python Basics, Data Preprocessing, Data Analysis ( using python ), Machine Learning, Deep Learning, MLOps ( using AWS and/or Huwawie Cloud ), NLP &amp; LLMs, Computer Vision, Agentic AI, AI Tools, All AI Topics</t>
  </si>
  <si>
    <t xml:space="preserve">Thank you for your consideration </t>
  </si>
  <si>
    <t xml:space="preserve">Asma shady fayez </t>
  </si>
  <si>
    <t>01068924198</t>
  </si>
  <si>
    <t>asmabarhom9@gmail.com</t>
  </si>
  <si>
    <t>https://www.linkedin.com/in/asma-shady-a9281a332?utm_source=share&amp;utm_campaign=share_via&amp;utm_content=profile&amp;utm_medium=android_app</t>
  </si>
  <si>
    <t>https://drive.google.com/open?id=18jEDyQjEKhJp0OEzFqzxIIwdBhfsm31g</t>
  </si>
  <si>
    <t>أنا شغوفة بالذكاء الاصطناعي، المنحة دي فرصة أطبق أفكاري بطريقة مبتكرة محدش شافها قبل كده، أصمم أنظمة ذكية بتفكر تاخد قرارات لوحدها، أحول كل فكرة لمشروع يترك أثر حقيقي ويغير الطريقة اللي الناس بتشوف بيها المستقبل.</t>
  </si>
  <si>
    <t>أعتقد إن قبولي مش بس هيفيدني  أنا، لكن كمان يضيف للبرنامج شخص عنده شغف حقيقي بالذكاء الاصطناعي، وعندي القدرة أحول أي فكرة لمشروع عملي ومؤثر. بحب أبتكر وأخرج من المألوف، وده يخلي وجودي في المنحة يخلق أفكار وحلول محدش شافها قبل كده، يخلي كل فرصة تعلم تتحول لنتيجة ملموسة ومختلفة.</t>
  </si>
  <si>
    <t xml:space="preserve">Linkedin
</t>
  </si>
  <si>
    <t>NLP &amp; LLMs</t>
  </si>
  <si>
    <t>I am a self-taught AI learner currently enrolled in the Route AI Diploma, with hands-on experience in Machine Learning, Data Science, and Python. I am passionate about applying AI to real-world problems and committed to contributing meaningfully to the future of this field.</t>
  </si>
  <si>
    <t xml:space="preserve">Ali Ahmed Ali mohamed </t>
  </si>
  <si>
    <t>01286583679</t>
  </si>
  <si>
    <t>aliyossef.ds@gmail.com</t>
  </si>
  <si>
    <t>https://www.linkedin.com/in/ali-yo?utm_source=share&amp;utm_campaign=share_via&amp;utm_content=profile&amp;utm_medium=android_app</t>
  </si>
  <si>
    <t>https://drive.google.com/open?id=1gGEEZtxd39DD5ThoKIidBDv-_5nbnT9V</t>
  </si>
  <si>
    <t>Improving my knowledge, Training give me more understanding how i implement models really good, and sure it's accuracy not misunderstanding, not accurate. 
Creating good network on my career.</t>
  </si>
  <si>
    <t>I'm student in faculty computing and data science, passionate in learning, loving learn a new things, curious.</t>
  </si>
  <si>
    <t xml:space="preserve">From LinkedIn profile Ahmed Hafiz </t>
  </si>
  <si>
    <t>Data Preprocessing, Machine Learning, Deep Learning, MLOps ( using AWS and/or Huwawie Cloud ), NLP &amp; LLMs</t>
  </si>
  <si>
    <t>https://drive.google.com/open?id=1V7tBIRtqn4JLJXSzwYvPoM4X97ohlNsA</t>
  </si>
  <si>
    <t>To develop myself in the field of artificial intelligence and prepare for the labor market and keep up with it</t>
  </si>
  <si>
    <t>Because I am an ambitious and patient person, and my goal is to become an influential person in the field of artificial intelligence, not just working in it.</t>
  </si>
  <si>
    <t xml:space="preserve">Thanks for your time </t>
  </si>
  <si>
    <t>Mohamed Yahia Mahmoud</t>
  </si>
  <si>
    <t>01120998779</t>
  </si>
  <si>
    <t>mohamed.yahia.cs@gmail.com</t>
  </si>
  <si>
    <t>linkedin.com/in/mohamed-yahia-118742280</t>
  </si>
  <si>
    <t>https://drive.google.com/open?id=10hH3JJTvoC-B1kzqHf3TeKvRogRw43x_</t>
  </si>
  <si>
    <t xml:space="preserve">i am lost inside resources , don't now what and witch should i take </t>
  </si>
  <si>
    <t>i have good basics , strong problem solving skills , height GPA</t>
  </si>
  <si>
    <t xml:space="preserve">Serag Higazy </t>
  </si>
  <si>
    <t>01111192575</t>
  </si>
  <si>
    <t>higazyserag1@gmail.com</t>
  </si>
  <si>
    <t>https://www.linkedin.com/in/serag-higazy-3ab4641b6?utm_source=share_via&amp;utm_content=profile&amp;utm_medium=member_ios</t>
  </si>
  <si>
    <t>https://drive.google.com/open?id=16XS0OjrCWrSyZARn2Uik-tHpzdbVS5hn</t>
  </si>
  <si>
    <t>Moustafa Serag</t>
  </si>
  <si>
    <t>01153158645</t>
  </si>
  <si>
    <t>moustafaserag@yahoo.com</t>
  </si>
  <si>
    <t>https://www.linkedin.com/in/moustafaserag98/</t>
  </si>
  <si>
    <t>https://drive.google.com/open?id=1eYCpNgde28vb5A6nG9vPoUxNVXLJXD75</t>
  </si>
  <si>
    <t>I’m already studying Machine Learning, and I want to take it to the next level in AI. This scholarship would help me learn faster, build real projects, and focus more on improving my skills.</t>
  </si>
  <si>
    <t>I’m committed and I actually apply what I learn. I’m consistent, learn quickly, and I’m serious about building real AI projects, not just studying theory.</t>
  </si>
  <si>
    <t>I'm a student in ML course</t>
  </si>
  <si>
    <t>Hasnaa Marzouk</t>
  </si>
  <si>
    <t>01122483615</t>
  </si>
  <si>
    <t>hasnaamarzouk44@gmail.com</t>
  </si>
  <si>
    <t>https://www.linkedin.com/in/hasnaamarzouk/</t>
  </si>
  <si>
    <t>https://drive.google.com/open?id=1z0p4qalqoPZHEf1rHscJKb4C-07hucwE</t>
  </si>
  <si>
    <t>My interest in AI has been growing recently, especially through my learning experience so far. It made me realize how much I want to go deeper into the field. I’m looking for a more advanced and structured opportunity that can help me strengthen my skills and gain more practical experience.</t>
  </si>
  <si>
    <t>You should accept me because I take learning seriously and I’m always trying to improve myself. I like to understand things deeply and apply what I learn, not just study it. I’m motivated to grow and make real progress if I’m given this opportunity.</t>
  </si>
  <si>
    <t>I'm a student in the ML course</t>
  </si>
  <si>
    <t xml:space="preserve">Kareem abdelrahman ahmed mohamed </t>
  </si>
  <si>
    <t>01113894304</t>
  </si>
  <si>
    <t>Karimabdooo20@gmail.com</t>
  </si>
  <si>
    <t>https://www.linkedin.com/in/kareem-abdelrahman-495a03316?utm_source=share&amp;utm_campaign=share_via&amp;utm_content=profile&amp;utm_medium=android_app</t>
  </si>
  <si>
    <t>https://drive.google.com/open?id=1kG6wCyQsmtrDnsWunsZsw_vGaEKzwRQs</t>
  </si>
  <si>
    <t xml:space="preserve">بصراحة أنا مهتم بالمنحة دي لأنها هتفرق معايا جدًا في مشواري. أنا بدرس علوم بيانات وعندي شغف كبير بالمجال، بس عارف إن الموضوع محتاج أكتر من مجرد دراسة، محتاج فرص حقيقية أتعلم وأطبق وأطور من نفسي.
المنحة دي هتساعدني أوصل لخبرة ومستوى أحسن بكتير، وهتخليني أركز أكتر على التعلم من غير ما أبقى قلقان من أي ظروف تانية. كمان أنا حابب أستغل الفرصة دي إني أتعلم كويس وأستخدم اللي اتعلمته في إني أشتغل على مشاريع ليها تأثير حقيقي وتفيد الناس.
ببساطة، أنا شايفها فرصة مهمة جدًا ليا، وأنا مستعد أستغلها لأقصى درجة.
</t>
  </si>
  <si>
    <t xml:space="preserve">بصراحة، أنا حابب أقول إنكم ممكن تقبلوني لأن عندي شغف حقيقي بمجال علوم البيانات وحابب أتعلم وأتطور فيه أكتر. مش بس بحب الدراسة النظرية، لكن كمان بحب أطبق اللي اتعلمته على مشاريع حقيقية وأشوف النتيجة بعيني.
أنا شخص ملتزم، وبحب أتعلم بسرعة، وبقدر أشتغل سواء لوحدي أو مع فريق عشان نوصل لأفضل نتيجة. المنحة دي بالنسبة لي فرصة كبيرة فعلاً، وصدقوني هستغلها على الآخر عشان أطور مهاراتي وأقدر أساهم بأي شكل ممكن. باختصار، أنا شخص متحمس ومستعد أثبت نفسي.
</t>
  </si>
  <si>
    <t xml:space="preserve">هكون مبسوط جدا لو انا انضميت ليكوا وحاسس انها هتكون فرصه كويسه جدا ليا </t>
  </si>
  <si>
    <t>Habiba Ebrahim</t>
  </si>
  <si>
    <t>01011205808</t>
  </si>
  <si>
    <t>ehabiba145@gmail.com</t>
  </si>
  <si>
    <t>https://www.linkedin.com/in/habiba-ebrahim-47a894305</t>
  </si>
  <si>
    <t>https://drive.google.com/open?id=15tc3DhzJ374r1OFjJC3yPWFtKgPU15BM</t>
  </si>
  <si>
    <t>I want this scholarship to help me develop AI solutions that make a real difference, especially in fields like healthcare and education. This will be a key step in my journey to drive positive change with AI.</t>
  </si>
  <si>
    <t>I have strong experience in data analysis, and I’m excited to expand into AI. This scholarship will help me combine my data skills with AI to create impactful solutions.</t>
  </si>
  <si>
    <t>Social Media</t>
  </si>
  <si>
    <t xml:space="preserve">Mohanad Ibrahim Elsayed Elbadawy </t>
  </si>
  <si>
    <t>01030210535</t>
  </si>
  <si>
    <t>mohanad.elsehrawy@gmail.com</t>
  </si>
  <si>
    <t>www.linkedin.com/in/mohanad-ibrahim-business-analytics</t>
  </si>
  <si>
    <t>https://drive.google.com/open?id=1hCt2SXQG7wVMAzEEZNqNNwmWg44jBMuf</t>
  </si>
  <si>
    <t>I want to enter the AI field because I aim to become a strong data scientist. My current skills include using Python (NumPy, scikit-learn, seaborn, and building models), as well as Excel and Power BI. I’m looking to further develop my skills and transition deeper into AI.</t>
  </si>
  <si>
    <t>I’m deeply focused on Data Science, and my main goal is to master building AI models. I want to take it to the next level with AitroniX by applying what I learn directly to my projects.</t>
  </si>
  <si>
    <t>My Friends and LinkedIn</t>
  </si>
  <si>
    <t>I have high expectations for what we can achieve together at AitroniX. I’m eager to learn from the experts here and grow alongside a team that values innovation.</t>
  </si>
  <si>
    <t xml:space="preserve">Nada Osama Fikry </t>
  </si>
  <si>
    <t>01552207102</t>
  </si>
  <si>
    <t>Nadaosamaaa3@gmail.com</t>
  </si>
  <si>
    <t>https://www.linkedin.com/in/nada-osama-fikry</t>
  </si>
  <si>
    <t>https://drive.google.com/open?id=1HeSDhlkm-e_Nm43onYjSA37ruEaqV22_</t>
  </si>
  <si>
    <t>To improve my skills because it represents an important step toward building my career in AI and Data Science.</t>
  </si>
  <si>
    <t>I am currently enrolled in a course under the Digital Egypt pioneers (DEPI) data science , and I have also completed training with NTI, which helped me build a strong foundation and gain practical exposure in the field. However, I believe that continuous learning is essential, and I am looking for more advanced, structured, and hands-on experience.
I am confident that your program will add significant value to my journey by deepening my knowledge and enhancing my practical skills.</t>
  </si>
  <si>
    <t xml:space="preserve">Omar nasser </t>
  </si>
  <si>
    <t>01095706599</t>
  </si>
  <si>
    <t>3omarnassereldin@gmail.com</t>
  </si>
  <si>
    <t>https://www.linkedin.com/in/omar-nasser-047300280?utm_source=share&amp;utm_campaign=share_via&amp;utm_content=profile&amp;utm_medium=android_app</t>
  </si>
  <si>
    <t>https://drive.google.com/open?id=1IFpyT9Y7kdElswIR03HAdg_pg-7Ki4nO</t>
  </si>
  <si>
    <t xml:space="preserve">Bridge to Industry: It connects my academic background in Signals and Systems with my goal of becoming a Machine Learning Engineer. ​Flexible Learning: The ability to choose specific AI modules allows me to tailor my education to industry-relevant skills like RAG pipelines and local LLM management. ​Competitive Growth: I am specifically drawn to the Hackathon and Career Conference as opportunities to validate my skills and launch my professional career. </t>
  </si>
  <si>
    <t xml:space="preserve">​Technical Foundations: I already have hands-on experience building AI workflows and managing local LLMs, ensuring I can contribute to the program from day one. ​Proven Discipline: My background in engineering has equipped me with the analytical mindset and long-term persistence required for a year-long intensive scholarship. ​Results-Oriented: I am committed to excellence; my goal is to be among the top performers who recoup the registration fee through high-tier performance in the final Hackathon. </t>
  </si>
  <si>
    <t>mariam mostafa</t>
  </si>
  <si>
    <t>https://drive.google.com/open?id=1Z_5RRuAhC6e1EtqXDRmwLTnZWLJ8T6ik</t>
  </si>
  <si>
    <t>I am seeking this scholarship because I believe that Artificial Intelligence is the core engine of the future. My goal is to build a solid technical foundation that allows me to contribute to creating smart solutions for real-world problems. This scholarship will provide the educational environment and hands-on training I need to transition my skills from the academic side to professional application. Furthermore, it will grant me the opportunity to connect with a community of experts and specialists in this field</t>
  </si>
  <si>
    <t>"You should accept me because I possess not only the passion but also the commitment and the solid foundation to build upon, as highlighted in my CV. I am a fast learner with the ability to collaborate effectively within a team to deliver complex technical projects. Furthermore, I intend to give back to the tech community after completing this scholarship by sharing my knowledge and mentoring other beginners, making me a valuable investment for your program.</t>
  </si>
  <si>
    <t>Mathematics, Data Preprocessing, Data Analysis ( using python ), Machine Learning, Deep Learning, NLP &amp; LLMs</t>
  </si>
  <si>
    <t>Ahmed osama soud</t>
  </si>
  <si>
    <t>01008538390</t>
  </si>
  <si>
    <t>ahmedosama2555222@gmail.com</t>
  </si>
  <si>
    <t>https://www.linkedin.com/in/ahmed-osama-ab4949375?utm_source=share&amp;utm_campaign=share_via&amp;utm_content=profile&amp;utm_medium=android_app</t>
  </si>
  <si>
    <t>https://drive.google.com/open?id=1rEDapgB5NUht6FPQZpzg3WeVNgMqKODe</t>
  </si>
  <si>
    <t xml:space="preserve">To gain lots of experience and work with others people in many projects </t>
  </si>
  <si>
    <t xml:space="preserve">I have an experience in ML and DL and I have working in a real life project and lots of problem while this journey </t>
  </si>
  <si>
    <t>Mathematics, Data Preprocessing, Data Analysis ( using python ), Introduction to Data Engineering ( Theoratical ), Machine Learning, Deep Learning, Agentic AI, AI Tools</t>
  </si>
  <si>
    <t xml:space="preserve">Shahd Ragab Saad Youssef </t>
  </si>
  <si>
    <t>01102720922</t>
  </si>
  <si>
    <t>shahd.ragab091@gmail.com</t>
  </si>
  <si>
    <t>https://www.linkedin.com/in/shahd-ragab-574197263?utm_source=share&amp;utm_campaign=share_via&amp;utm_content=profile&amp;utm_medium=android_app</t>
  </si>
  <si>
    <t>https://drive.google.com/open?id=1FIJCeShA5LrObAJHVRTeAAYBqiLf8Uuc</t>
  </si>
  <si>
    <t xml:space="preserve">To learn more information and develop my knowledge and my skills and improve my experience </t>
  </si>
  <si>
    <t>I should be accepted into Aitronex because I am a dedicated and fast learner with a strong foundation in Python and data analysis. I am passionate about AI and building impactful projects, and I am committed to applying everything I learn in real-world scenarios. I will bring consistency, motivation, and a strong desire to grow and contribute to the program.</t>
  </si>
  <si>
    <t>Python Basics, Data Preprocessing, Data Analysis ( using python ), Machine Learning</t>
  </si>
  <si>
    <t>Mohamed Ekramy</t>
  </si>
  <si>
    <t>01022577487</t>
  </si>
  <si>
    <t>mohamedekramy935@gmail.com</t>
  </si>
  <si>
    <t>https://www.linkedin.com/in/mohamed-ekramy-el-sherbiny?utm_source=share_via&amp;utm_content=profile&amp;utm_medium=member_ios</t>
  </si>
  <si>
    <t>https://drive.google.com/open?id=17rvhtlJznNAHIuOpSi_BemFbW0qIf4l5</t>
  </si>
  <si>
    <t>This scholarship would help me focus more on learning, development, and making the most of every opportunity available to me</t>
  </si>
  <si>
    <t>I believe I would be a strong candidate because I am eager to grow, open to challenges, and determined to use this opportunity responsibly.</t>
  </si>
  <si>
    <t xml:space="preserve">linked in
</t>
  </si>
  <si>
    <t xml:space="preserve">Yasser Ahmed Mohamed Mogahed </t>
  </si>
  <si>
    <t>01027889639</t>
  </si>
  <si>
    <t>ymogahed2004@gmail.com</t>
  </si>
  <si>
    <t>https://www.linkedin.com/in/yasser-mogahed-502b96349?utm_source=share_via&amp;utm_content=profile&amp;utm_medium=member_android</t>
  </si>
  <si>
    <t>https://drive.google.com/open?id=1sq532oNjGR21XaRB1zlrnx8YWIUP7JYu</t>
  </si>
  <si>
    <t>because I know that it will make me better at what I am doing and i will learn a lot and gain more experience</t>
  </si>
  <si>
    <t xml:space="preserve">Because i want to be a machine learning engineer and i want to gain deeper knowledge about machine learning and deep learning, and i know that this scholarship will achieve what i want and help me in building AI models </t>
  </si>
  <si>
    <t xml:space="preserve">I hope that you accept me in this scholarship </t>
  </si>
  <si>
    <t xml:space="preserve">Ahmed Reda Ahmed Fekri Ibrahim </t>
  </si>
  <si>
    <t>01096544636</t>
  </si>
  <si>
    <t>ahmedreda192004@gmail.com</t>
  </si>
  <si>
    <t>https://www.linkedin.com/in/ahmed-reda-851569383</t>
  </si>
  <si>
    <t>https://drive.google.com/open?id=1t1z1u_-29klEtkyFuNjjCyS7g2CylXya</t>
  </si>
  <si>
    <t>I am applying for this AI scholarship because it strongly aligns with my academic background and future ambitions. I am currently in my final year with a GPA of 3.79/4.00, and I am ranked first in my department of Data Science. Since my first year in the Faculty of Artificial Intelligence, I have been passionate not only about learning but also about teaching, as I used to help other students understand subjects like mathematics, physics, programming, and statistics. This experience strengthened my communication skills and deepened my understanding of complex concepts. I believe this scholarship will provide me with the opportunity to advance my knowledge in AI, gain hands-on experience, and participate in impactful activities such as hackathons and career events. I am highly motivated, disciplined, and eager to make the most of this opportunity to further develop my skills and contribute to the field of artificial intelligence.</t>
  </si>
  <si>
    <t>You should accept me because I combine strong academic performance with real impact. I am ranked first in my Data Science department with a GPA of 3.79/4.00, and I have consistently shown discipline and commitment to excellence. Beyond my studies, I have helped other students understand challenging subjects like mathematics, physics, programming, and statistics, which reflects both my deep understanding and my ability to share knowledge.</t>
  </si>
  <si>
    <t>I heard about this scholarship from my friend Youssef Emad, who studies with me at the same faculty. He is also connected with the academy.</t>
  </si>
  <si>
    <t>I am interested in all AI topics, along with AI Automation, to enhance my ability to build practical and efficient AI systems.</t>
  </si>
  <si>
    <t>Ahmed Yusri</t>
  </si>
  <si>
    <t>01110956345</t>
  </si>
  <si>
    <t>ahmedyusri31@gmail.com</t>
  </si>
  <si>
    <t>https://linkedin.com/in/ahmed-yusri</t>
  </si>
  <si>
    <t>https://drive.google.com/open?id=1Kp2rmlw-gmLutTR_6go7CDgcoE_HcyMh</t>
  </si>
  <si>
    <t>I am start learning Generative ai for a while and I am really willing to master agentic ai and build a successful ai agents so I think this scholarship we'll be a huge step in my career in learning and building agentic ai systems</t>
  </si>
  <si>
    <t>I believe I should be accepted into this scholarship because I am a helpful and self-consistent learner who is always committed to improving. I actively support my colleagues and enjoy sharing knowledge with others. I also have a strong foundation in the field of AI, and I am highly motivated to grow further in agentic AI and apply what I learn to real-world problems</t>
  </si>
  <si>
    <t>NLP &amp; LLMs, Agentic AI</t>
  </si>
  <si>
    <t xml:space="preserve">Ayat Elsayed Elzook </t>
  </si>
  <si>
    <t>01274960631</t>
  </si>
  <si>
    <t>ayatelzook@gmail.com</t>
  </si>
  <si>
    <t>https://www.linkedin.com/in/ayat-elzook-89541a25a/</t>
  </si>
  <si>
    <t>https://drive.google.com/open?id=1POW4RVwQMXD7lvOh03TMSfa6iEeSOfJC</t>
  </si>
  <si>
    <t>I want to join this scholarship to review and strengthen my knowledge in AI and learn the latest technologies in the field. I am especially interested in expanding my understanding of machine learning, deep learning, and MLOps while exploring other AI topics and gaining practical insights from experts.</t>
  </si>
  <si>
    <t>I am motivated to grow in the field of AI and continuously develop my skills. I already have experience working on AI projects and I am eager to deepen my knowledge</t>
  </si>
  <si>
    <t>I am excited about the opportunity to learn, grow, and contribute through this program.</t>
  </si>
  <si>
    <t>yousef mohammed abdelkareem</t>
  </si>
  <si>
    <t>ym9159303@gmail.com</t>
  </si>
  <si>
    <t>https://www.linkedin.com/in/joox/</t>
  </si>
  <si>
    <t>https://drive.google.com/open?id=1Se11E-QMzEszAPrV7DLFU_H3tKFhl5iY</t>
  </si>
  <si>
    <t>I'm a Computer Science student at Helwan University with hands-on experience in AI and IoT development, and I want to use this scholarship to deepen my theoretical and practical AI knowledge in a structured way. While I've built real projects — from a Neural Machine Translation system to a YOLOv11-based computer vision pipeline — I want to go further into areas like MLOps, Agentic AI, and LLMs that I haven't fully explored yet. The hackathon and career conference at the end make this especially valuable, as they offer real-world exposure and networking that complements academic study.</t>
  </si>
  <si>
    <t>I'm not starting from zero — I already have practical AI/ML experience from my role at VoltX and multiple self-driven projects. I've implemented transformer architectures, built ML pipelines, and deployed embedded AI systems. This means I'll absorb the material faster, contribute meaningfully in team settings, and get the most out of advanced topics like Deep Learning and Agentic AI. I'm also highly self-motivated, as my open-source work on GitHub demonstrates. I plan to be an active participant — not just a learner — throughout the program.</t>
  </si>
  <si>
    <t xml:space="preserve">aitronix round4 </t>
  </si>
  <si>
    <t>naaaa</t>
  </si>
  <si>
    <t xml:space="preserve">Abdullah Abdelhakeem Sabrah </t>
  </si>
  <si>
    <t>01008995928</t>
  </si>
  <si>
    <t>abdosabrah49@gmail.com</t>
  </si>
  <si>
    <t>linkedin.com/in/abdullah-abdelhakeem-sabrah-b2793b246</t>
  </si>
  <si>
    <t>https://drive.google.com/open?id=1TLjHveMSCedsSmHDMHgIVjlr-ftCMAd8</t>
  </si>
  <si>
    <t>I service had ended at military, i am searching opportunities to sharpen my skills 
And eng/ahmed hafez was my instructor in instant ai diploma and i believe in strong content he can give</t>
  </si>
  <si>
    <t xml:space="preserve">I think that what i have now so i will do my best at it to meet the market labor </t>
  </si>
  <si>
    <t>Introduction to Data Engineering ( Theoratical ), MLOps ( using AWS and/or Huwawie Cloud ), NLP &amp; LLMs, Agentic AI, AI Tools, All AI Topics</t>
  </si>
  <si>
    <t>Tarek Amr Mostafa</t>
  </si>
  <si>
    <t>01129886261</t>
  </si>
  <si>
    <t>tarekamr737@gmail.com</t>
  </si>
  <si>
    <t>https://www.linkedin.com/in/tarek-amr737?utm_source=share_via&amp;utm_content=profile&amp;utm_medium=member_ios</t>
  </si>
  <si>
    <t>https://drive.google.com/open?id=14KwYu3eZFsBu0HqvLfpi3Ob4A-q22Owy</t>
  </si>
  <si>
    <t>As a senior AI Engineering student, this scholarship would strengthen my expertise in advanced AI and help me apply my skills to meaningful real-world innovation.</t>
  </si>
  <si>
    <t>You should accept me because I have a solid AI Engineering background, a proven passion for applying AI to real-world challenges, and the drive to maximize this opportunity into meaningful research and innovation.</t>
  </si>
  <si>
    <t>I am highly motivated to expand my expertise in advanced AI and make the most of this opportunity through continuous learning, research, and practical innovation. I am confident this scholarship will help me grow into an AI engineer capable of creating meaningful real-world impact.</t>
  </si>
  <si>
    <t xml:space="preserve">Mohamed Amir Abouzaid Ahmed </t>
  </si>
  <si>
    <t>01013390569</t>
  </si>
  <si>
    <t>mohamedamirezz05@gmail.com</t>
  </si>
  <si>
    <t>https://www.linkedin.com/in/mohamed-amir-5572722b0?utm_source=share_via&amp;utm_content=profile&amp;utm_medium=member_android</t>
  </si>
  <si>
    <t>https://drive.google.com/open?id=1eMIahbsGNFwhrikPxoegORXhm6F82A-_</t>
  </si>
  <si>
    <t xml:space="preserve">My goal is to learn and apply my knowledge to projects, and this is my main objective: to create projects inspired by the job market and find a job after training. </t>
  </si>
  <si>
    <t xml:space="preserve">I am passionate about learning and delving deeper into artificial intelligence engineering, and my goal is to use my knowledge to contribute to the localization of AI software industries. I want to be not just users of tools, but also engineers capable of creating new and local technologies. </t>
  </si>
  <si>
    <t>Data Preprocessing, Introduction to Data Engineering ( Theoratical ), Machine Learning, Deep Learning, MLOps ( using AWS and/or Huwawie Cloud ), NLP &amp; LLMs, Computer Vision, Agentic AI</t>
  </si>
  <si>
    <t xml:space="preserve">Please indicate if the dates are subject to change later. Also, clarify the training location. </t>
  </si>
  <si>
    <t xml:space="preserve">Rama Abdelgadir Imam MohamedAhmed </t>
  </si>
  <si>
    <t>01123240218</t>
  </si>
  <si>
    <t>Ramaabdelgadir@gmail.com</t>
  </si>
  <si>
    <t>Linkedin.com/in/rama-abdelgadir</t>
  </si>
  <si>
    <t>https://drive.google.com/open?id=1WIOGEnQRli6z2XzAtMr8Z6VPfSdq4Ipl</t>
  </si>
  <si>
    <t>I want to strengthen my foundation in Artificial Intelligence and fill the gaps in my core knowledge, especially in machine learning, deep learning, and LLM systems. I also aim to move from project-based experience to a more structured understanding of AI engineering and production systems. This scholarship will help me consolidate my skills and prepare for real-world AI engineering roles.</t>
  </si>
  <si>
    <t>I have a strong background in AI with hands-on experience in building LLM-based systems, RAG pipelines, and real-world AI applications during my graduation project and internship. However, I want to solidify my fundamentals and expand into advanced topics such as MLOps, agentic AI, and scalable AI systems. I am highly motivated, consistent in practical learning, and committed to completing the full program and applying the knowledge in real projects.</t>
  </si>
  <si>
    <t>I am currently transitioning from project-based AI experience to a structured AI engineering path and I am highly committed to completing this scholarship and applying the knowledge in real-world systems and projects.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</si>
</sst>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b/>
      <color theme="1"/>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quotePrefix="1"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quotePrefix="1" borderId="0" fillId="0" fontId="2" numFmtId="0" xfId="0" applyAlignment="1" applyFont="1">
      <alignment readingOrder="0" shrinkToFit="0" vertical="center" wrapText="0"/>
    </xf>
    <xf borderId="0" fillId="0" fontId="4"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418" displayName="Form_Responses" name="Form_Responses" id="1">
  <autoFilter ref="$A$1:$M$418"/>
  <tableColumns count="13">
    <tableColumn name="Timestamp" id="1"/>
    <tableColumn name="Name" id="2"/>
    <tableColumn name="Phone Number ( must have WhatsApp ) " id="3"/>
    <tableColumn name="Email" id="4"/>
    <tableColumn name="Please Select Preferred Scholarship type " id="5"/>
    <tableColumn name="LinkedIn" id="6"/>
    <tableColumn name="Please upload your CV" id="7"/>
    <tableColumn name="Why do you want this Scholarship?" id="8"/>
    <tableColumn name="Why should we accept you?" id="9"/>
    <tableColumn name="Where did you hear about us?" id="10"/>
    <tableColumn name="Preferred Sessions Time" id="11"/>
    <tableColumn name="What are the topics that you want to learn during this scholarship ? " id="12"/>
    <tableColumn name="Any notes"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2k0g2VOmYF5i4w3yc7E2oEMa3yo5UvSk" TargetMode="External"/><Relationship Id="rId194" Type="http://schemas.openxmlformats.org/officeDocument/2006/relationships/hyperlink" Target="https://drive.google.com/open?id=1JZNGyeD0G1iRPsrZS_H-KEnzcu9PxM5n" TargetMode="External"/><Relationship Id="rId193" Type="http://schemas.openxmlformats.org/officeDocument/2006/relationships/hyperlink" Target="https://www.linkedin.com/in/kerolos-yosry-41998a283?utm_source=share_via&amp;utm_content=profile&amp;utm_medium=member_android" TargetMode="External"/><Relationship Id="rId192" Type="http://schemas.openxmlformats.org/officeDocument/2006/relationships/hyperlink" Target="https://drive.google.com/open?id=1vSSoZUtHBEe_fIsqpuJB0Q_TWN-Z_j14" TargetMode="External"/><Relationship Id="rId191" Type="http://schemas.openxmlformats.org/officeDocument/2006/relationships/hyperlink" Target="https://www.linkedin.com/in/ahmed-ebrahim2?utm_source=share&amp;utm_campaign=share_via&amp;utm_content=profile&amp;utm_medium=ios_app" TargetMode="External"/><Relationship Id="rId187" Type="http://schemas.openxmlformats.org/officeDocument/2006/relationships/hyperlink" Target="https://www.linkedin.com/in/amira-emad-araby-7bb38b355" TargetMode="External"/><Relationship Id="rId186" Type="http://schemas.openxmlformats.org/officeDocument/2006/relationships/hyperlink" Target="https://drive.google.com/open?id=1XYjiUoENhPjZdm9S20EAwqcn_UZW0Hn1" TargetMode="External"/><Relationship Id="rId185" Type="http://schemas.openxmlformats.org/officeDocument/2006/relationships/hyperlink" Target="https://www.linkedin.com/in/omarfesal1" TargetMode="External"/><Relationship Id="rId184" Type="http://schemas.openxmlformats.org/officeDocument/2006/relationships/hyperlink" Target="https://drive.google.com/open?id=1akCp3k53W4KPoz1BTRDj-yS04hhFgE6v" TargetMode="External"/><Relationship Id="rId189" Type="http://schemas.openxmlformats.org/officeDocument/2006/relationships/hyperlink" Target="https://www.linkedin.com/in/hanya-wael-b21b89347?utm_source=share&amp;utm_campaign=share_via&amp;utm_content=profile&amp;utm_medium=ios_app" TargetMode="External"/><Relationship Id="rId188" Type="http://schemas.openxmlformats.org/officeDocument/2006/relationships/hyperlink" Target="https://drive.google.com/open?id=1zUo2QHEmuSvKS76984RheHRxNES2fds2" TargetMode="External"/><Relationship Id="rId183" Type="http://schemas.openxmlformats.org/officeDocument/2006/relationships/hyperlink" Target="https://www.linkedin.com/in/mramadan0220" TargetMode="External"/><Relationship Id="rId182" Type="http://schemas.openxmlformats.org/officeDocument/2006/relationships/hyperlink" Target="https://drive.google.com/open?id=1cudu4IgjtXp0owNubTQCnywu2RWTYaaw" TargetMode="External"/><Relationship Id="rId181" Type="http://schemas.openxmlformats.org/officeDocument/2006/relationships/hyperlink" Target="https://www.linkedin.com/in/mohamed-ali-hassan-a33b40320?utm_source=share&amp;utm_campaign=share_via&amp;utm_content=profile&amp;utm_medium=ios_app" TargetMode="External"/><Relationship Id="rId180" Type="http://schemas.openxmlformats.org/officeDocument/2006/relationships/hyperlink" Target="https://drive.google.com/open?id=1s42QiePw7WK2tJEm5ZjHsVSKpkvAXy3Y" TargetMode="External"/><Relationship Id="rId176" Type="http://schemas.openxmlformats.org/officeDocument/2006/relationships/hyperlink" Target="https://drive.google.com/open?id=11aLSioZSanY_YSfX5PqDxTOMiZcYoYl6" TargetMode="External"/><Relationship Id="rId175" Type="http://schemas.openxmlformats.org/officeDocument/2006/relationships/hyperlink" Target="https://www.linkedin.com/in/youssef-khaled-a36174286/" TargetMode="External"/><Relationship Id="rId174" Type="http://schemas.openxmlformats.org/officeDocument/2006/relationships/hyperlink" Target="https://drive.google.com/open?id=1U2evcvytpyAVizdC-NWKjnqSJCICr9EO" TargetMode="External"/><Relationship Id="rId173" Type="http://schemas.openxmlformats.org/officeDocument/2006/relationships/hyperlink" Target="http://linkedin.com/in/manalibrahimme" TargetMode="External"/><Relationship Id="rId179" Type="http://schemas.openxmlformats.org/officeDocument/2006/relationships/hyperlink" Target="http://www.linkedin.com/in/alaa-elkewisny-1542a933b" TargetMode="External"/><Relationship Id="rId178" Type="http://schemas.openxmlformats.org/officeDocument/2006/relationships/hyperlink" Target="https://drive.google.com/open?id=1jeV1HthfcxYAs-hdCubKkBFjN66rEdfH" TargetMode="External"/><Relationship Id="rId177" Type="http://schemas.openxmlformats.org/officeDocument/2006/relationships/hyperlink" Target="https://www.linkedin.com/in/abdelrahman-kabil-511732246/" TargetMode="External"/><Relationship Id="rId198" Type="http://schemas.openxmlformats.org/officeDocument/2006/relationships/hyperlink" Target="https://drive.google.com/open?id=1xwzzJbNIOJnhWX2ilkegMgAhy75AgIog" TargetMode="External"/><Relationship Id="rId197" Type="http://schemas.openxmlformats.org/officeDocument/2006/relationships/hyperlink" Target="https://www.linkedin.com/in/mikhail-samuel/en" TargetMode="External"/><Relationship Id="rId196" Type="http://schemas.openxmlformats.org/officeDocument/2006/relationships/hyperlink" Target="https://drive.google.com/open?id=1zDeVPTN836gV_8itPM-nz9T2VPfcRQW1" TargetMode="External"/><Relationship Id="rId195" Type="http://schemas.openxmlformats.org/officeDocument/2006/relationships/hyperlink" Target="http://www.linkedin.com/in/mohammed-wael-b47182337" TargetMode="External"/><Relationship Id="rId199" Type="http://schemas.openxmlformats.org/officeDocument/2006/relationships/hyperlink" Target="https://www.linkedin.com/in/yahya-osama-1bb7bb355?utm_source=share&amp;utm_campaign=share_via&amp;utm_content=profile&amp;utm_medium=ios_app" TargetMode="External"/><Relationship Id="rId150" Type="http://schemas.openxmlformats.org/officeDocument/2006/relationships/hyperlink" Target="https://drive.google.com/open?id=1OsIvTuH4cydNnkSYAqM9-Hmm2BmkTJsv" TargetMode="External"/><Relationship Id="rId392" Type="http://schemas.openxmlformats.org/officeDocument/2006/relationships/hyperlink" Target="https://www.linkedin.com/in/ahmed-r-teaima" TargetMode="External"/><Relationship Id="rId391" Type="http://schemas.openxmlformats.org/officeDocument/2006/relationships/hyperlink" Target="https://drive.google.com/open?id=1LMqoCEqcmA9Brj1RcMgn9x1Hp7bdZ-Ad" TargetMode="External"/><Relationship Id="rId390" Type="http://schemas.openxmlformats.org/officeDocument/2006/relationships/hyperlink" Target="http://www.linkedin.com/in/abdallah-ali-da" TargetMode="External"/><Relationship Id="rId1" Type="http://schemas.openxmlformats.org/officeDocument/2006/relationships/hyperlink" Target="https://www.linkedin.com/in/abdelrahman-khalil-0937ab2b0?utm_source=share_via&amp;utm_content=profile&amp;utm_medium=member_android" TargetMode="External"/><Relationship Id="rId2" Type="http://schemas.openxmlformats.org/officeDocument/2006/relationships/hyperlink" Target="https://drive.google.com/open?id=1OXEUPDVvHFERFYuisz9KYWJWewpfKQ4f" TargetMode="External"/><Relationship Id="rId3" Type="http://schemas.openxmlformats.org/officeDocument/2006/relationships/hyperlink" Target="https://www.linkedin.com/in/samyhaliem/" TargetMode="External"/><Relationship Id="rId149" Type="http://schemas.openxmlformats.org/officeDocument/2006/relationships/hyperlink" Target="https://www.linkedin.com/in/reham-mahmoud-rushdi?utm_source=share&amp;utm_campaign=share_via&amp;utm_content=profile&amp;utm_medium=android_app" TargetMode="External"/><Relationship Id="rId4" Type="http://schemas.openxmlformats.org/officeDocument/2006/relationships/hyperlink" Target="https://drive.google.com/open?id=1MA5qC-xYVIQlE7qP3-nvJPcfSblhcIAp" TargetMode="External"/><Relationship Id="rId148" Type="http://schemas.openxmlformats.org/officeDocument/2006/relationships/hyperlink" Target="https://drive.google.com/open?id=1iNIJTYcRNVZf-eVED8emfGydhfacaNzO" TargetMode="External"/><Relationship Id="rId9" Type="http://schemas.openxmlformats.org/officeDocument/2006/relationships/hyperlink" Target="https://www.linkedin.com/in/abdelghany-elshershapy-16951a247?utm_source=share&amp;utm_campaign=share_via&amp;utm_content=profile&amp;utm_medium=android_app" TargetMode="External"/><Relationship Id="rId143" Type="http://schemas.openxmlformats.org/officeDocument/2006/relationships/hyperlink" Target="https://www.linkedin.com/in/hussian-ahmed?utm_source=share&amp;utm_campaign=share_via&amp;utm_content=profile&amp;utm_medium=android_app" TargetMode="External"/><Relationship Id="rId385" Type="http://schemas.openxmlformats.org/officeDocument/2006/relationships/hyperlink" Target="http://www.linkedin.com/in/mohanad-elkheshen-91405434b" TargetMode="External"/><Relationship Id="rId142" Type="http://schemas.openxmlformats.org/officeDocument/2006/relationships/hyperlink" Target="https://drive.google.com/open?id=15Ldp4CvbpdQZHHe1eMa_tvBwo-wXpYdM" TargetMode="External"/><Relationship Id="rId384" Type="http://schemas.openxmlformats.org/officeDocument/2006/relationships/hyperlink" Target="https://drive.google.com/open?id=1p0Pn-beJSGHsJ4yOkgchduQqrFFti7Mh" TargetMode="External"/><Relationship Id="rId141" Type="http://schemas.openxmlformats.org/officeDocument/2006/relationships/hyperlink" Target="https://www.linkedin.com/in/abdelrhman-mohamed-ds" TargetMode="External"/><Relationship Id="rId383" Type="http://schemas.openxmlformats.org/officeDocument/2006/relationships/hyperlink" Target="https://www.linkedin.com/in/zyad-shehatou-ezzeldin-53a7b5262?utm_source=share&amp;utm_campaign=share_via&amp;utm_content=profile&amp;utm_medium=ios_app" TargetMode="External"/><Relationship Id="rId140" Type="http://schemas.openxmlformats.org/officeDocument/2006/relationships/hyperlink" Target="https://drive.google.com/open?id=1ZKbjeD_L5IKKbPwuG36MEXPYNkaHdFG1" TargetMode="External"/><Relationship Id="rId382" Type="http://schemas.openxmlformats.org/officeDocument/2006/relationships/hyperlink" Target="https://drive.google.com/open?id=1e3t7lQTr5eLnQLFZaWqnxsrceMZnLRYb" TargetMode="External"/><Relationship Id="rId5" Type="http://schemas.openxmlformats.org/officeDocument/2006/relationships/hyperlink" Target="http://www.linkedin.com/in/rehab-abuelhassan-21973b216?utm_source=share&amp;utm_campaign=share_via&amp;utm_content=profile&amp;utm_medium=android_app" TargetMode="External"/><Relationship Id="rId147" Type="http://schemas.openxmlformats.org/officeDocument/2006/relationships/hyperlink" Target="https://www.linkedin.com/in/waleed-ali-zaharn-a2176529b?utm_source=share&amp;utm_campaign=share_via&amp;utm_content=profile&amp;utm_medium=android_app" TargetMode="External"/><Relationship Id="rId389" Type="http://schemas.openxmlformats.org/officeDocument/2006/relationships/hyperlink" Target="https://drive.google.com/open?id=1eWxjYrYXxZmyIk8sulxos6Ka87DuDWFd" TargetMode="External"/><Relationship Id="rId6" Type="http://schemas.openxmlformats.org/officeDocument/2006/relationships/hyperlink" Target="https://drive.google.com/open?id=10apviXBsA4_GQ7hVhbH67ktCZ42t1QnV" TargetMode="External"/><Relationship Id="rId146" Type="http://schemas.openxmlformats.org/officeDocument/2006/relationships/hyperlink" Target="https://drive.google.com/open?id=18uqO52AWfVeD413B8nurzYHqpSaod4Lb" TargetMode="External"/><Relationship Id="rId388" Type="http://schemas.openxmlformats.org/officeDocument/2006/relationships/hyperlink" Target="https://drive.google.com/open?id=1ZuXIRnLb_HPQdH1bc1p8Gq8CkUUTcKoe" TargetMode="External"/><Relationship Id="rId7" Type="http://schemas.openxmlformats.org/officeDocument/2006/relationships/hyperlink" Target="https://www.linkedin.com/in/ayat-fakhary-614ab9248?utm_source=share&amp;utm_campaign=share_via&amp;utm_content=profile&amp;utm_medium=android_app" TargetMode="External"/><Relationship Id="rId145" Type="http://schemas.openxmlformats.org/officeDocument/2006/relationships/hyperlink" Target="https://www.linkedin.com/in/mustafa-nasser-b22598321/?utm_source=share&amp;utm_campaign=share_via&amp;utm_content=profile&amp;utm_medium=android_app" TargetMode="External"/><Relationship Id="rId387" Type="http://schemas.openxmlformats.org/officeDocument/2006/relationships/hyperlink" Target="https://www.linkedin.com/in/mariam-askar-5bbb1328b?utm_source=share&amp;utm_campaign=share_via&amp;utm_content=profile&amp;utm_medium=ios_app" TargetMode="External"/><Relationship Id="rId8" Type="http://schemas.openxmlformats.org/officeDocument/2006/relationships/hyperlink" Target="https://drive.google.com/open?id=1SfFCARr254f_hYMriqlfk9ybn8LEBaKp" TargetMode="External"/><Relationship Id="rId144" Type="http://schemas.openxmlformats.org/officeDocument/2006/relationships/hyperlink" Target="https://drive.google.com/open?id=1_3mICfgk7kSRgja7xW8RiuCZ6SzRv3oy" TargetMode="External"/><Relationship Id="rId386" Type="http://schemas.openxmlformats.org/officeDocument/2006/relationships/hyperlink" Target="https://drive.google.com/open?id=1_xl9s45GPH0GdFhi_UUh2AhBaa4k1Qhr" TargetMode="External"/><Relationship Id="rId381" Type="http://schemas.openxmlformats.org/officeDocument/2006/relationships/hyperlink" Target="https://www.linkedin.com/in/karamyahia" TargetMode="External"/><Relationship Id="rId380" Type="http://schemas.openxmlformats.org/officeDocument/2006/relationships/hyperlink" Target="https://drive.google.com/open?id=1-HzScCaGDgdgJnbPbGvP01wi7W_HOhm0" TargetMode="External"/><Relationship Id="rId139" Type="http://schemas.openxmlformats.org/officeDocument/2006/relationships/hyperlink" Target="https://www.linkedin.com/in/bahaa-eldin-shaaban-drwish-6823b2196" TargetMode="External"/><Relationship Id="rId138" Type="http://schemas.openxmlformats.org/officeDocument/2006/relationships/hyperlink" Target="https://drive.google.com/open?id=12-L3zowdf8O5GdbCBBRx062vuMF7WYAK" TargetMode="External"/><Relationship Id="rId137" Type="http://schemas.openxmlformats.org/officeDocument/2006/relationships/hyperlink" Target="http://www.linkedin.com/in/youssef-fawzy-ai" TargetMode="External"/><Relationship Id="rId379" Type="http://schemas.openxmlformats.org/officeDocument/2006/relationships/hyperlink" Target="https://www.linkedin.com/in/karamyahia" TargetMode="External"/><Relationship Id="rId132" Type="http://schemas.openxmlformats.org/officeDocument/2006/relationships/hyperlink" Target="https://drive.google.com/open?id=1ilcMYWTfC8kvuJ-lC1Z_aWi43DQkD4iy" TargetMode="External"/><Relationship Id="rId374" Type="http://schemas.openxmlformats.org/officeDocument/2006/relationships/hyperlink" Target="https://drive.google.com/open?id=1E0R15WXRwAQT5lZXJZO4haTBb5fmR1jY" TargetMode="External"/><Relationship Id="rId131" Type="http://schemas.openxmlformats.org/officeDocument/2006/relationships/hyperlink" Target="https://www.linkedin.com/in/youssef-haitham-mahmoud-9852b5395?utm_source=share_via&amp;utm_content=profile&amp;utm_medium=member_android" TargetMode="External"/><Relationship Id="rId373" Type="http://schemas.openxmlformats.org/officeDocument/2006/relationships/hyperlink" Target="http://www.linkedin.com/in/isra-nour-el-yakine-b-713a38208" TargetMode="External"/><Relationship Id="rId130" Type="http://schemas.openxmlformats.org/officeDocument/2006/relationships/hyperlink" Target="https://drive.google.com/open?id=1J1XcrnO-x9zZJ264c2PIThETORn15voa" TargetMode="External"/><Relationship Id="rId372" Type="http://schemas.openxmlformats.org/officeDocument/2006/relationships/hyperlink" Target="https://drive.google.com/open?id=1yMBXLQvkWQreLXEm8m_SQ3ez3iDLbSK1" TargetMode="External"/><Relationship Id="rId371" Type="http://schemas.openxmlformats.org/officeDocument/2006/relationships/hyperlink" Target="https://www.linkedin.com/in/assem-elnahas-28887429a/" TargetMode="External"/><Relationship Id="rId136" Type="http://schemas.openxmlformats.org/officeDocument/2006/relationships/hyperlink" Target="https://drive.google.com/open?id=13prbJ-Z3q2jt7nQDmGpSagNUMJsQec1U" TargetMode="External"/><Relationship Id="rId378" Type="http://schemas.openxmlformats.org/officeDocument/2006/relationships/hyperlink" Target="https://drive.google.com/open?id=1qlvC6pS6O0gU4uGAkV9Ekz8IZzKnDQNW" TargetMode="External"/><Relationship Id="rId135" Type="http://schemas.openxmlformats.org/officeDocument/2006/relationships/hyperlink" Target="https://www.linkedin.com/in/ayoub-azez?utm_source=share&amp;utm_campaign=share_via&amp;utm_content=profile&amp;utm_medium=android_app" TargetMode="External"/><Relationship Id="rId377" Type="http://schemas.openxmlformats.org/officeDocument/2006/relationships/hyperlink" Target="https://www.linkedin.com/in/waad-ahmed-214a7b370/" TargetMode="External"/><Relationship Id="rId134" Type="http://schemas.openxmlformats.org/officeDocument/2006/relationships/hyperlink" Target="https://drive.google.com/open?id=1xJYrZZ_DIHrDCJNWQszq_YPVKWbDm9ay" TargetMode="External"/><Relationship Id="rId376" Type="http://schemas.openxmlformats.org/officeDocument/2006/relationships/hyperlink" Target="https://drive.google.com/open?id=1tTGMfk56QXh5QfUpGnjQdi9_0gusk21y" TargetMode="External"/><Relationship Id="rId133" Type="http://schemas.openxmlformats.org/officeDocument/2006/relationships/hyperlink" Target="https://www.linkedin.com/in/alaa-mokhtar-09a043355?utm_source=share&amp;utm_campaign=share_via&amp;utm_content=profile&amp;utm_medium=android_app" TargetMode="External"/><Relationship Id="rId375" Type="http://schemas.openxmlformats.org/officeDocument/2006/relationships/hyperlink" Target="https://www.linkedin.com/in/ahmed-mohamed-50b555236?utm_source=share&amp;utm_campaign=share_via&amp;utm_content=profile&amp;utm_medium=android_app" TargetMode="External"/><Relationship Id="rId172" Type="http://schemas.openxmlformats.org/officeDocument/2006/relationships/hyperlink" Target="https://drive.google.com/open?id=1_d8LkPZ5WVCsSirLzRL8_dVRzLDdfJyH" TargetMode="External"/><Relationship Id="rId171" Type="http://schemas.openxmlformats.org/officeDocument/2006/relationships/hyperlink" Target="https://www.linkedin.com/in/khaled-omar196?utm_source=share&amp;utm_campaign=share_via&amp;utm_content=profile&amp;utm_medium=android_app" TargetMode="External"/><Relationship Id="rId170" Type="http://schemas.openxmlformats.org/officeDocument/2006/relationships/hyperlink" Target="https://drive.google.com/open?id=1tGjc5Xcoiw_aodxgSasTDxR7DlqrnVQB" TargetMode="External"/><Relationship Id="rId165" Type="http://schemas.openxmlformats.org/officeDocument/2006/relationships/hyperlink" Target="https://www.linkedin.com/in/mustafa-ahmed-9935b1295/" TargetMode="External"/><Relationship Id="rId164" Type="http://schemas.openxmlformats.org/officeDocument/2006/relationships/hyperlink" Target="https://drive.google.com/open?id=1sgiMnsdrAP0MvXmhkZoBiIwJ04WgzAtf" TargetMode="External"/><Relationship Id="rId163" Type="http://schemas.openxmlformats.org/officeDocument/2006/relationships/hyperlink" Target="https://www.linkedin.com/in/hebatuallah-abdelhamed-2860b625a/" TargetMode="External"/><Relationship Id="rId162" Type="http://schemas.openxmlformats.org/officeDocument/2006/relationships/hyperlink" Target="https://drive.google.com/open?id=1FcEfVooUnoTDoqWmOFeU7Sz2-tuE8lha" TargetMode="External"/><Relationship Id="rId169" Type="http://schemas.openxmlformats.org/officeDocument/2006/relationships/hyperlink" Target="https://www.linkedin.com/in/sleem-hashem" TargetMode="External"/><Relationship Id="rId168" Type="http://schemas.openxmlformats.org/officeDocument/2006/relationships/hyperlink" Target="https://drive.google.com/open?id=1mhur57yK5ZFpp_woTsAUr32JH53Txc_t" TargetMode="External"/><Relationship Id="rId167" Type="http://schemas.openxmlformats.org/officeDocument/2006/relationships/hyperlink" Target="https://www.linkedin.com/in/mohammed-01-salah?utm_source=share&amp;utm_campaign=share_via&amp;utm_content=profile&amp;utm_medium=android_app" TargetMode="External"/><Relationship Id="rId166" Type="http://schemas.openxmlformats.org/officeDocument/2006/relationships/hyperlink" Target="https://drive.google.com/open?id=1yktgTSvuMjJ0Mb1UluZxZpvE4wghLJZR" TargetMode="External"/><Relationship Id="rId161" Type="http://schemas.openxmlformats.org/officeDocument/2006/relationships/hyperlink" Target="https://www.linkedin.com/in/hayam-mostafaa/" TargetMode="External"/><Relationship Id="rId160" Type="http://schemas.openxmlformats.org/officeDocument/2006/relationships/hyperlink" Target="https://drive.google.com/open?id=1pLs7APkfGKLnglfrl5W8l3JzoiUaVpac" TargetMode="External"/><Relationship Id="rId159" Type="http://schemas.openxmlformats.org/officeDocument/2006/relationships/hyperlink" Target="https://www.linkedin.com/in/yossef-mohammed-358802275?utm_source=share&amp;utm_campaign=share_via&amp;utm_content=profile&amp;utm_medium=android_app" TargetMode="External"/><Relationship Id="rId154" Type="http://schemas.openxmlformats.org/officeDocument/2006/relationships/hyperlink" Target="https://drive.google.com/open?id=1hWTRBkcRb2VftultFdv8ZSSNDumPIgR2" TargetMode="External"/><Relationship Id="rId396" Type="http://schemas.openxmlformats.org/officeDocument/2006/relationships/hyperlink" Target="https://drive.google.com/open?id=1-AJrGNtZHkf6VhNyp1qv-9qc1yP2gmRF" TargetMode="External"/><Relationship Id="rId153" Type="http://schemas.openxmlformats.org/officeDocument/2006/relationships/hyperlink" Target="https://www.linkedin.com/in/abdalla-zayed-175aab268?utm_source=share&amp;utm_campaign=share_via&amp;utm_content=profile&amp;utm_medium=android_app" TargetMode="External"/><Relationship Id="rId395" Type="http://schemas.openxmlformats.org/officeDocument/2006/relationships/hyperlink" Target="https://drive.google.com/open?id=1SAIi4rz3MBMCWIa2TZXFCPVJYX-P_rUt" TargetMode="External"/><Relationship Id="rId152" Type="http://schemas.openxmlformats.org/officeDocument/2006/relationships/hyperlink" Target="https://drive.google.com/open?id=1kCORnucoYheMTKxE2ggt2KpKkL-sYBv-" TargetMode="External"/><Relationship Id="rId394" Type="http://schemas.openxmlformats.org/officeDocument/2006/relationships/hyperlink" Target="https://www.linkedin.com/in/ehdaa-abdalla-a54274228?utm_source=share&amp;utm_campaign=share_via&amp;utm_content=profile&amp;utm_medium=android_app" TargetMode="External"/><Relationship Id="rId151" Type="http://schemas.openxmlformats.org/officeDocument/2006/relationships/hyperlink" Target="https://www.linkedin.com/in/waleed-ali-zaharn-a2176529b?utm_source=share&amp;utm_campaign=share_via&amp;utm_content=profile&amp;utm_medium=android_app" TargetMode="External"/><Relationship Id="rId393" Type="http://schemas.openxmlformats.org/officeDocument/2006/relationships/hyperlink" Target="https://drive.google.com/open?id=149--Eogk9a9PejcZQ3j1fNzHs_S9xNY_" TargetMode="External"/><Relationship Id="rId158" Type="http://schemas.openxmlformats.org/officeDocument/2006/relationships/hyperlink" Target="https://drive.google.com/open?id=1GnTTBTvp1CxRKrr9xMLaEOtPVnpo1J_Q" TargetMode="External"/><Relationship Id="rId157" Type="http://schemas.openxmlformats.org/officeDocument/2006/relationships/hyperlink" Target="https://www.linkedin.com/in/mohamed-tarek-997abb283?utm_source=share&amp;utm_campaign=share_via&amp;utm_content=profile&amp;utm_medium=ios_app" TargetMode="External"/><Relationship Id="rId399" Type="http://schemas.openxmlformats.org/officeDocument/2006/relationships/hyperlink" Target="https://www.linkedin.com/in/mohammed-abdelmonem19?utm_source=share&amp;utm_campaign=share_via&amp;utm_content=profile&amp;utm_medium=android_app" TargetMode="External"/><Relationship Id="rId156" Type="http://schemas.openxmlformats.org/officeDocument/2006/relationships/hyperlink" Target="https://drive.google.com/open?id=1qzduABmDahDxm6koDfdzjrVbLlU31fAc" TargetMode="External"/><Relationship Id="rId398" Type="http://schemas.openxmlformats.org/officeDocument/2006/relationships/hyperlink" Target="https://drive.google.com/open?id=1xkgNF9OIMBBkaA2bU5cWoOdpltos1UkP" TargetMode="External"/><Relationship Id="rId155" Type="http://schemas.openxmlformats.org/officeDocument/2006/relationships/hyperlink" Target="https://www.linkedin.com/in/mohamed-ahmed-hamed-899556355?utm_source=share&amp;utm_campaign=share_via&amp;utm_content=profile&amp;utm_medium=ios_app" TargetMode="External"/><Relationship Id="rId397" Type="http://schemas.openxmlformats.org/officeDocument/2006/relationships/hyperlink" Target="https://www.linkedin.com/in/asmahanahmed" TargetMode="External"/><Relationship Id="rId808" Type="http://schemas.openxmlformats.org/officeDocument/2006/relationships/hyperlink" Target="http://linkedin.com/in/abdullah-abdelhakeem-sabrah-b2793b246" TargetMode="External"/><Relationship Id="rId807" Type="http://schemas.openxmlformats.org/officeDocument/2006/relationships/hyperlink" Target="https://drive.google.com/open?id=1Se11E-QMzEszAPrV7DLFU_H3tKFhl5iY" TargetMode="External"/><Relationship Id="rId806" Type="http://schemas.openxmlformats.org/officeDocument/2006/relationships/hyperlink" Target="https://www.linkedin.com/in/joox/" TargetMode="External"/><Relationship Id="rId805" Type="http://schemas.openxmlformats.org/officeDocument/2006/relationships/hyperlink" Target="https://drive.google.com/open?id=1POW4RVwQMXD7lvOh03TMSfa6iEeSOfJC" TargetMode="External"/><Relationship Id="rId809" Type="http://schemas.openxmlformats.org/officeDocument/2006/relationships/hyperlink" Target="https://drive.google.com/open?id=1TLjHveMSCedsSmHDMHgIVjlr-ftCMAd8" TargetMode="External"/><Relationship Id="rId800" Type="http://schemas.openxmlformats.org/officeDocument/2006/relationships/hyperlink" Target="https://www.linkedin.com/in/ahmed-reda-851569383" TargetMode="External"/><Relationship Id="rId804" Type="http://schemas.openxmlformats.org/officeDocument/2006/relationships/hyperlink" Target="https://www.linkedin.com/in/ayat-elzook-89541a25a/" TargetMode="External"/><Relationship Id="rId803" Type="http://schemas.openxmlformats.org/officeDocument/2006/relationships/hyperlink" Target="https://drive.google.com/open?id=1Kp2rmlw-gmLutTR_6go7CDgcoE_HcyMh" TargetMode="External"/><Relationship Id="rId802" Type="http://schemas.openxmlformats.org/officeDocument/2006/relationships/hyperlink" Target="https://linkedin.com/in/ahmed-yusri" TargetMode="External"/><Relationship Id="rId801" Type="http://schemas.openxmlformats.org/officeDocument/2006/relationships/hyperlink" Target="https://drive.google.com/open?id=1t1z1u_-29klEtkyFuNjjCyS7g2CylXya" TargetMode="External"/><Relationship Id="rId40" Type="http://schemas.openxmlformats.org/officeDocument/2006/relationships/hyperlink" Target="https://drive.google.com/open?id=1YInXnMqIZkLHnEw8zUGZ2xOu3hLMI_xd" TargetMode="External"/><Relationship Id="rId42" Type="http://schemas.openxmlformats.org/officeDocument/2006/relationships/hyperlink" Target="https://drive.google.com/open?id=1sx6296DjYDErKKSUJY0aT4LoEQldLG1E" TargetMode="External"/><Relationship Id="rId41" Type="http://schemas.openxmlformats.org/officeDocument/2006/relationships/hyperlink" Target="https://www.linkedin.com/in/mostafa-h-el-nagar-b83139377?utm_source=share&amp;utm_campaign=share_via&amp;utm_content=profile&amp;utm_medium=android_app" TargetMode="External"/><Relationship Id="rId44" Type="http://schemas.openxmlformats.org/officeDocument/2006/relationships/hyperlink" Target="https://drive.google.com/open?id=14bg-pkl7vjLcQ7gy2OIue31XNW-TDnc9" TargetMode="External"/><Relationship Id="rId43" Type="http://schemas.openxmlformats.org/officeDocument/2006/relationships/hyperlink" Target="https://www.linkedin.com/in/magdy-elkhateeb-660842288" TargetMode="External"/><Relationship Id="rId46" Type="http://schemas.openxmlformats.org/officeDocument/2006/relationships/hyperlink" Target="https://drive.google.com/open?id=17UuB6RZ-lJQ_aIYUb7lCx_ILfUQlVUjd" TargetMode="External"/><Relationship Id="rId45" Type="http://schemas.openxmlformats.org/officeDocument/2006/relationships/hyperlink" Target="https://www.linkedin.com/in/mariam-tamer-456939255?utm_source=share&amp;utm_campaign=share_via&amp;utm_content=profile&amp;utm_medium=android_app" TargetMode="External"/><Relationship Id="rId509" Type="http://schemas.openxmlformats.org/officeDocument/2006/relationships/hyperlink" Target="https://www.linkedin.com/in/mohamed-elkok-2372b4313?utm_source=share&amp;utm_campaign=share_via&amp;utm_content=profile&amp;utm_medium=android_app" TargetMode="External"/><Relationship Id="rId508" Type="http://schemas.openxmlformats.org/officeDocument/2006/relationships/hyperlink" Target="https://drive.google.com/open?id=1IEX2Qbo9MdO_D8DXSRRoZY9IFuENwFXc" TargetMode="External"/><Relationship Id="rId503" Type="http://schemas.openxmlformats.org/officeDocument/2006/relationships/hyperlink" Target="https://www.linkedin.com/in/mahmoud-farouk-72737924a?utm_source=share&amp;utm_campaign=share_via&amp;utm_content=profile&amp;utm_medium=ios_app" TargetMode="External"/><Relationship Id="rId745" Type="http://schemas.openxmlformats.org/officeDocument/2006/relationships/hyperlink" Target="https://drive.google.com/open?id=1CJHbmi5ISLiOGbUowg61wne_ojn4CKPn" TargetMode="External"/><Relationship Id="rId502" Type="http://schemas.openxmlformats.org/officeDocument/2006/relationships/hyperlink" Target="https://drive.google.com/open?id=1PiP9m47iLOkj8F-Ioqy9M0M0lg6dbHFN" TargetMode="External"/><Relationship Id="rId744" Type="http://schemas.openxmlformats.org/officeDocument/2006/relationships/hyperlink" Target="https://www.linkedin.com/in/mariam-tarek-498715312?utm_source=share_via&amp;utm_content=profile&amp;utm_medium=member_android" TargetMode="External"/><Relationship Id="rId501" Type="http://schemas.openxmlformats.org/officeDocument/2006/relationships/hyperlink" Target="https://www.linkedin.com/in/eman-soliman-73b32b327?utm_source=share&amp;utm_campaign=share_via&amp;utm_content=profile&amp;utm_medium=android_app" TargetMode="External"/><Relationship Id="rId743" Type="http://schemas.openxmlformats.org/officeDocument/2006/relationships/hyperlink" Target="https://drive.google.com/open?id=1q4oIexqykTOhwGSM3bPLuBAt06FmGxUE" TargetMode="External"/><Relationship Id="rId500" Type="http://schemas.openxmlformats.org/officeDocument/2006/relationships/hyperlink" Target="https://drive.google.com/open?id=15Jjkw9f7TGSnayu4an2e6XGcm6-MQ0MA" TargetMode="External"/><Relationship Id="rId742" Type="http://schemas.openxmlformats.org/officeDocument/2006/relationships/hyperlink" Target="https://www.linkedin.com/in/mariam-tarek-498715312?utm_source=share_via&amp;utm_content=profile&amp;utm_medium=member_android" TargetMode="External"/><Relationship Id="rId507" Type="http://schemas.openxmlformats.org/officeDocument/2006/relationships/hyperlink" Target="https://www.linkedin.com/in/yousefnaserabdo/" TargetMode="External"/><Relationship Id="rId749" Type="http://schemas.openxmlformats.org/officeDocument/2006/relationships/hyperlink" Target="https://drive.google.com/open?id=1uFMOEcSe82yJVnzYYJK2JV-Wl2L5OHWG" TargetMode="External"/><Relationship Id="rId506" Type="http://schemas.openxmlformats.org/officeDocument/2006/relationships/hyperlink" Target="https://drive.google.com/open?id=1ENXzj0ULz_xYO43Nnh2VljG3wnZJyV6y" TargetMode="External"/><Relationship Id="rId748" Type="http://schemas.openxmlformats.org/officeDocument/2006/relationships/hyperlink" Target="http://www.linkedin.com/in/alaaahmed7" TargetMode="External"/><Relationship Id="rId505" Type="http://schemas.openxmlformats.org/officeDocument/2006/relationships/hyperlink" Target="https://drive.google.com/open?id=1EtBESQkGtdLc7Gk0CPKyAjq0kEZ163M1" TargetMode="External"/><Relationship Id="rId747" Type="http://schemas.openxmlformats.org/officeDocument/2006/relationships/hyperlink" Target="https://drive.google.com/open?id=1aamsX4y5ncpHVHiCbfau6N0LC4T4ov1H" TargetMode="External"/><Relationship Id="rId504" Type="http://schemas.openxmlformats.org/officeDocument/2006/relationships/hyperlink" Target="https://drive.google.com/open?id=17D4VAU66pkNwI-hTgz1e0JVXfF2U_jxp" TargetMode="External"/><Relationship Id="rId746" Type="http://schemas.openxmlformats.org/officeDocument/2006/relationships/hyperlink" Target="https://www.linkedin.com/in/mostafaelsatter/" TargetMode="External"/><Relationship Id="rId48" Type="http://schemas.openxmlformats.org/officeDocument/2006/relationships/hyperlink" Target="https://drive.google.com/open?id=1LmVHDX6y_YfkICroj3AIgwEYN858Sh3L" TargetMode="External"/><Relationship Id="rId47" Type="http://schemas.openxmlformats.org/officeDocument/2006/relationships/hyperlink" Target="https://www.linkedin.com/in/dalia-elbastawisi?utm_source=share&amp;utm_campaign=share_via&amp;utm_content=profile&amp;utm_medium=android_app" TargetMode="External"/><Relationship Id="rId49" Type="http://schemas.openxmlformats.org/officeDocument/2006/relationships/hyperlink" Target="https://www.linkedin.com/in/mostafa-kamal-451138202?utm_source=share&amp;utm_campaign=share_via&amp;utm_content=profile&amp;utm_medium=android_app" TargetMode="External"/><Relationship Id="rId741" Type="http://schemas.openxmlformats.org/officeDocument/2006/relationships/hyperlink" Target="https://drive.google.com/open?id=1dU7HDFtsqIbz6HSNW__pTv-Fbt1kkrvJ" TargetMode="External"/><Relationship Id="rId740" Type="http://schemas.openxmlformats.org/officeDocument/2006/relationships/hyperlink" Target="https://www.linkedin.com/in/fatma-wahby-91240a389?utm_source=share_via&amp;utm_content=profile&amp;utm_medium=member_android" TargetMode="External"/><Relationship Id="rId31" Type="http://schemas.openxmlformats.org/officeDocument/2006/relationships/hyperlink" Target="https://www.linkedin.com/in/tsabeh-hamed-data-analyst" TargetMode="External"/><Relationship Id="rId30" Type="http://schemas.openxmlformats.org/officeDocument/2006/relationships/hyperlink" Target="https://drive.google.com/open?id=1GpHqCQ2-Ck8RRqKQ8FffAszEVGBgrB6I" TargetMode="External"/><Relationship Id="rId33" Type="http://schemas.openxmlformats.org/officeDocument/2006/relationships/hyperlink" Target="https://www.linkedin.com/in/habiba-ashraf-9b25862a7?utm_source=share&amp;utm_campaign=share_via&amp;utm_content=profile&amp;utm_medium=android_app" TargetMode="External"/><Relationship Id="rId32" Type="http://schemas.openxmlformats.org/officeDocument/2006/relationships/hyperlink" Target="https://drive.google.com/open?id=1egTGRZ11V5Jgp5k1SacGK33laKQh2q_q" TargetMode="External"/><Relationship Id="rId35" Type="http://schemas.openxmlformats.org/officeDocument/2006/relationships/hyperlink" Target="http://www.linkedin.com/in/tokal/" TargetMode="External"/><Relationship Id="rId34" Type="http://schemas.openxmlformats.org/officeDocument/2006/relationships/hyperlink" Target="https://drive.google.com/open?id=10AHcOO03_PCg3CiKVFqvg03rQKmcRVMo" TargetMode="External"/><Relationship Id="rId739" Type="http://schemas.openxmlformats.org/officeDocument/2006/relationships/hyperlink" Target="https://drive.google.com/open?id=1gvPakOG0-JT_wmuU_fWvzMa20cNExMUE" TargetMode="External"/><Relationship Id="rId734" Type="http://schemas.openxmlformats.org/officeDocument/2006/relationships/hyperlink" Target="https://www.linkedin.com/in/yassen-mahmoud-mostafa-6a328a2a3?utm_source=share&amp;utm_campaign=share_via&amp;utm_content=profile&amp;utm_medium=android_app" TargetMode="External"/><Relationship Id="rId733" Type="http://schemas.openxmlformats.org/officeDocument/2006/relationships/hyperlink" Target="https://drive.google.com/open?id=1s_doi9tRUWjs14aFrS8tmmiu2KpjBh8T" TargetMode="External"/><Relationship Id="rId732" Type="http://schemas.openxmlformats.org/officeDocument/2006/relationships/hyperlink" Target="https://www.linkedin.com/in/nadermohamed7/" TargetMode="External"/><Relationship Id="rId731" Type="http://schemas.openxmlformats.org/officeDocument/2006/relationships/hyperlink" Target="https://drive.google.com/open?id=1bxNkpA2wsLocb3-sYhlj45_Gf3hqJTl5" TargetMode="External"/><Relationship Id="rId738" Type="http://schemas.openxmlformats.org/officeDocument/2006/relationships/hyperlink" Target="https://www.linkedin.com/in/mohamed-abd-el-azizz/" TargetMode="External"/><Relationship Id="rId737" Type="http://schemas.openxmlformats.org/officeDocument/2006/relationships/hyperlink" Target="https://drive.google.com/open?id=1n6ectKm9vErYBEOcmiz2KTb7UpKxpkq6" TargetMode="External"/><Relationship Id="rId736" Type="http://schemas.openxmlformats.org/officeDocument/2006/relationships/hyperlink" Target="https://www.linkedin.com/in/abdelrhman-al-ghonimi/" TargetMode="External"/><Relationship Id="rId735" Type="http://schemas.openxmlformats.org/officeDocument/2006/relationships/hyperlink" Target="https://drive.google.com/open?id=16apKqgwxBtiKHaBeILla3KJSehslZTqp" TargetMode="External"/><Relationship Id="rId37" Type="http://schemas.openxmlformats.org/officeDocument/2006/relationships/hyperlink" Target="https://www.linkedin.com/in/mohamed-ebrahim-hamed?utm_source=share&amp;utm_campaign=share_via&amp;utm_content=profile&amp;utm_medium=android_app" TargetMode="External"/><Relationship Id="rId36" Type="http://schemas.openxmlformats.org/officeDocument/2006/relationships/hyperlink" Target="https://drive.google.com/open?id=1ZcNPQ2957uujEM068q9JFTjOJAXGbRSQ" TargetMode="External"/><Relationship Id="rId39" Type="http://schemas.openxmlformats.org/officeDocument/2006/relationships/hyperlink" Target="https://www.linkedin.com/in/amanyomustafa" TargetMode="External"/><Relationship Id="rId38" Type="http://schemas.openxmlformats.org/officeDocument/2006/relationships/hyperlink" Target="https://drive.google.com/open?id=1JaQxqpQqKHuC8jJbF-cNg6CgllwV_vvp" TargetMode="External"/><Relationship Id="rId730" Type="http://schemas.openxmlformats.org/officeDocument/2006/relationships/hyperlink" Target="https://www.linkedin.com/in/mohamedkaasab?utm_source=share_via&amp;utm_content=profile&amp;utm_medium=member_android" TargetMode="External"/><Relationship Id="rId20" Type="http://schemas.openxmlformats.org/officeDocument/2006/relationships/hyperlink" Target="https://drive.google.com/open?id=1nLwbwd6Upzi6YRyhItI9GK0ecpeqbUfY" TargetMode="External"/><Relationship Id="rId22" Type="http://schemas.openxmlformats.org/officeDocument/2006/relationships/hyperlink" Target="https://drive.google.com/open?id=1cC8Zq-5T9HnVme5FRh0Bfc8439qDjaiZ" TargetMode="External"/><Relationship Id="rId21" Type="http://schemas.openxmlformats.org/officeDocument/2006/relationships/hyperlink" Target="https://www.linkedin.com/in/ahmed-walid-nito" TargetMode="External"/><Relationship Id="rId24" Type="http://schemas.openxmlformats.org/officeDocument/2006/relationships/hyperlink" Target="https://drive.google.com/open?id=1__wpg7WtE4FeYj4f5Mkpi8HHd4YV04mV" TargetMode="External"/><Relationship Id="rId23" Type="http://schemas.openxmlformats.org/officeDocument/2006/relationships/hyperlink" Target="https://www.linkedin.com/in/mariam-hany-715b89279?utm_source=share&amp;utm_campaign=share_via&amp;utm_content=profile&amp;utm_medium=android_app" TargetMode="External"/><Relationship Id="rId525" Type="http://schemas.openxmlformats.org/officeDocument/2006/relationships/hyperlink" Target="https://www.linkedin.com/in/youssef-ramadan-yr-b120483a1?utm_source=share&amp;utm_campaign=share_via&amp;utm_content=profile&amp;utm_medium=android_app" TargetMode="External"/><Relationship Id="rId767" Type="http://schemas.openxmlformats.org/officeDocument/2006/relationships/hyperlink" Target="https://drive.google.com/open?id=18jEDyQjEKhJp0OEzFqzxIIwdBhfsm31g" TargetMode="External"/><Relationship Id="rId524" Type="http://schemas.openxmlformats.org/officeDocument/2006/relationships/hyperlink" Target="https://drive.google.com/open?id=1FarYOlgpqsUb9ZSqXmQ1HNFUSe6bkClE" TargetMode="External"/><Relationship Id="rId766" Type="http://schemas.openxmlformats.org/officeDocument/2006/relationships/hyperlink" Target="https://www.linkedin.com/in/asma-shady-a9281a332?utm_source=share&amp;utm_campaign=share_via&amp;utm_content=profile&amp;utm_medium=android_app" TargetMode="External"/><Relationship Id="rId523" Type="http://schemas.openxmlformats.org/officeDocument/2006/relationships/hyperlink" Target="https://www.linkedin.com/in/abdelrahman-ahmed-el-khatib" TargetMode="External"/><Relationship Id="rId765" Type="http://schemas.openxmlformats.org/officeDocument/2006/relationships/hyperlink" Target="https://drive.google.com/open?id=1SjWQrDj7BwSvMq1zU9XY-VINVf64ntku" TargetMode="External"/><Relationship Id="rId522" Type="http://schemas.openxmlformats.org/officeDocument/2006/relationships/hyperlink" Target="https://drive.google.com/open?id=1Iizu_ta3n5hF19gFC6ZMgrq0RCsFbDJr" TargetMode="External"/><Relationship Id="rId764" Type="http://schemas.openxmlformats.org/officeDocument/2006/relationships/hyperlink" Target="https://www.linkedin.com/in/ali-gamal-12014720b?utm_source=share&amp;utm_campaign=share_via&amp;utm_content=profile&amp;utm_medium=ios_app" TargetMode="External"/><Relationship Id="rId529" Type="http://schemas.openxmlformats.org/officeDocument/2006/relationships/hyperlink" Target="https://drive.google.com/open?id=1U1_lkxQTP0vHBdbMlefozusHSOlzb8sx" TargetMode="External"/><Relationship Id="rId528" Type="http://schemas.openxmlformats.org/officeDocument/2006/relationships/hyperlink" Target="https://drive.google.com/open?id=1aQQsNe9LlRUvSDS3PYE3IPJkjyQLF39B" TargetMode="External"/><Relationship Id="rId527" Type="http://schemas.openxmlformats.org/officeDocument/2006/relationships/hyperlink" Target="http://linkedin.com/in/mohamed-wael-mohamed-9772803a4" TargetMode="External"/><Relationship Id="rId769" Type="http://schemas.openxmlformats.org/officeDocument/2006/relationships/hyperlink" Target="https://drive.google.com/open?id=1gGEEZtxd39DD5ThoKIidBDv-_5nbnT9V" TargetMode="External"/><Relationship Id="rId526" Type="http://schemas.openxmlformats.org/officeDocument/2006/relationships/hyperlink" Target="https://drive.google.com/open?id=1zdjZnFCdXScaP1CMWyXLFMyTcXYVu1AT" TargetMode="External"/><Relationship Id="rId768" Type="http://schemas.openxmlformats.org/officeDocument/2006/relationships/hyperlink" Target="https://www.linkedin.com/in/ali-yo?utm_source=share&amp;utm_campaign=share_via&amp;utm_content=profile&amp;utm_medium=android_app" TargetMode="External"/><Relationship Id="rId26" Type="http://schemas.openxmlformats.org/officeDocument/2006/relationships/hyperlink" Target="https://drive.google.com/open?id=1VlLV9exdnRQl033G5b7mrIxYmxtBF2eV" TargetMode="External"/><Relationship Id="rId25" Type="http://schemas.openxmlformats.org/officeDocument/2006/relationships/hyperlink" Target="https://www.linkedin.com/in/mahmoud-farag-62b023244?utm_source=share&amp;utm_campaign=share_via&amp;utm_content=profile&amp;utm_medium=android_app" TargetMode="External"/><Relationship Id="rId28" Type="http://schemas.openxmlformats.org/officeDocument/2006/relationships/hyperlink" Target="https://drive.google.com/open?id=1D4B9yFw0vue_Pz5W4z1fpn1ZA0fyKVdF" TargetMode="External"/><Relationship Id="rId27" Type="http://schemas.openxmlformats.org/officeDocument/2006/relationships/hyperlink" Target="http://www.linkedin.com/in/salma-mohamed-kassem" TargetMode="External"/><Relationship Id="rId521" Type="http://schemas.openxmlformats.org/officeDocument/2006/relationships/hyperlink" Target="https://www.linkedin.com/in/ahmed-elkahky?utm_source=share&amp;utm_campaign=share_via&amp;utm_content=profile&amp;utm_medium=android_app" TargetMode="External"/><Relationship Id="rId763" Type="http://schemas.openxmlformats.org/officeDocument/2006/relationships/hyperlink" Target="https://drive.google.com/open?id=15gDen5uW2gtTwhbpz-FmbnSXfGM3vH2z" TargetMode="External"/><Relationship Id="rId29" Type="http://schemas.openxmlformats.org/officeDocument/2006/relationships/hyperlink" Target="https://www.linkedin.com/in/zeyad-hussein-04a580289/" TargetMode="External"/><Relationship Id="rId520" Type="http://schemas.openxmlformats.org/officeDocument/2006/relationships/hyperlink" Target="https://drive.google.com/open?id=1s0MrqmfGrbkvZaONLP9LvpYLE8_YcFYt" TargetMode="External"/><Relationship Id="rId762" Type="http://schemas.openxmlformats.org/officeDocument/2006/relationships/hyperlink" Target="https://www.linkedin.com/in/miar-elhelw-113700277?utm_source=share_via&amp;utm_content=profile&amp;utm_medium=member_android" TargetMode="External"/><Relationship Id="rId761" Type="http://schemas.openxmlformats.org/officeDocument/2006/relationships/hyperlink" Target="https://drive.google.com/open?id=1qTo1yBMMqRKkEDBdK-j-JYVgg2LSY5WT" TargetMode="External"/><Relationship Id="rId760" Type="http://schemas.openxmlformats.org/officeDocument/2006/relationships/hyperlink" Target="http://www.linkedin.com/in/ganna-sabahy-136883274" TargetMode="External"/><Relationship Id="rId11" Type="http://schemas.openxmlformats.org/officeDocument/2006/relationships/hyperlink" Target="https://www.linkedin.com/in/engalaagabr/" TargetMode="External"/><Relationship Id="rId10" Type="http://schemas.openxmlformats.org/officeDocument/2006/relationships/hyperlink" Target="https://drive.google.com/open?id=1PMchgyyWjbK0IiUtUYTBjBqqT0ypbdvH" TargetMode="External"/><Relationship Id="rId13" Type="http://schemas.openxmlformats.org/officeDocument/2006/relationships/hyperlink" Target="https://www.linkedin.com/in/mahmoud-eldakrory-237b632a7?utm_source=share&amp;utm_campaign=share_via&amp;utm_content=profile&amp;utm_medium=android_app" TargetMode="External"/><Relationship Id="rId12" Type="http://schemas.openxmlformats.org/officeDocument/2006/relationships/hyperlink" Target="https://drive.google.com/open?id=1_VXcxgxCFzKZfB2ryVfS4rIEBfT82II8" TargetMode="External"/><Relationship Id="rId519" Type="http://schemas.openxmlformats.org/officeDocument/2006/relationships/hyperlink" Target="https://www.linkedin.com/in/shaimaa-abdelshafy/" TargetMode="External"/><Relationship Id="rId514" Type="http://schemas.openxmlformats.org/officeDocument/2006/relationships/hyperlink" Target="https://drive.google.com/open?id=1Bhwilj58LpiuLeppTMX3uK3uanQ653rN" TargetMode="External"/><Relationship Id="rId756" Type="http://schemas.openxmlformats.org/officeDocument/2006/relationships/hyperlink" Target="https://www.linkedin.com/public-profile/settings/?trk=d_flagship3_profile_self_view_public_profile&amp;lipi=urn%3Ali%3Apage%3Ad_flagship3_profile_view_base%3BNEn4U%2F2eTJqAUVgsCHn0bA%3D%3D" TargetMode="External"/><Relationship Id="rId513" Type="http://schemas.openxmlformats.org/officeDocument/2006/relationships/hyperlink" Target="https://www.linkedin.com/in/nourhan-osama-7bb831295/?locale=ar_AE" TargetMode="External"/><Relationship Id="rId755" Type="http://schemas.openxmlformats.org/officeDocument/2006/relationships/hyperlink" Target="https://drive.google.com/open?id=1LXTwz5TJrH3hVEuy8CsGYyu4GF8HSVtm" TargetMode="External"/><Relationship Id="rId512" Type="http://schemas.openxmlformats.org/officeDocument/2006/relationships/hyperlink" Target="https://drive.google.com/open?id=1A-3ymNT2cv_3ygo1jOOi5EyVNr8_5l2w" TargetMode="External"/><Relationship Id="rId754" Type="http://schemas.openxmlformats.org/officeDocument/2006/relationships/hyperlink" Target="https://www.linkedin.com/in/aisha-ramadan-1809592b0/" TargetMode="External"/><Relationship Id="rId511" Type="http://schemas.openxmlformats.org/officeDocument/2006/relationships/hyperlink" Target="https://www.linkedin.com/in/menna-mohamed-020250265?utm_source=share&amp;utm_campaign=share_via&amp;utm_content=profile&amp;utm_medium=ios_app" TargetMode="External"/><Relationship Id="rId753" Type="http://schemas.openxmlformats.org/officeDocument/2006/relationships/hyperlink" Target="https://drive.google.com/open?id=1pBQzh4cX3ezHKxzU90iqnDZ9-fOcVT7i" TargetMode="External"/><Relationship Id="rId518" Type="http://schemas.openxmlformats.org/officeDocument/2006/relationships/hyperlink" Target="https://drive.google.com/open?id=1Pg6Pl5ZXooQZq270fIV53_8kJMS4zw3k" TargetMode="External"/><Relationship Id="rId517" Type="http://schemas.openxmlformats.org/officeDocument/2006/relationships/hyperlink" Target="https://www.linkedin.com/in/shahd-ayman-37466531a?utm_source=share_via&amp;utm_content=profile&amp;utm_medium=member_android" TargetMode="External"/><Relationship Id="rId759" Type="http://schemas.openxmlformats.org/officeDocument/2006/relationships/hyperlink" Target="https://drive.google.com/open?id=1K1xNL_8AmyTt27gcNyu6zV_UvOMS_D94" TargetMode="External"/><Relationship Id="rId516" Type="http://schemas.openxmlformats.org/officeDocument/2006/relationships/hyperlink" Target="https://drive.google.com/open?id=1S5DH022M2er6wVXVZwgJUOvXDRqoi5j0" TargetMode="External"/><Relationship Id="rId758" Type="http://schemas.openxmlformats.org/officeDocument/2006/relationships/hyperlink" Target="https://www.linkedin.com/in/moohamed-hesham/" TargetMode="External"/><Relationship Id="rId515" Type="http://schemas.openxmlformats.org/officeDocument/2006/relationships/hyperlink" Target="https://www.linkedin.com/in/hazem-elrefaie-226653204/" TargetMode="External"/><Relationship Id="rId757" Type="http://schemas.openxmlformats.org/officeDocument/2006/relationships/hyperlink" Target="https://drive.google.com/open?id=1kI8GIYzisK4AVuDusN0uWGdmMDed87rh" TargetMode="External"/><Relationship Id="rId15" Type="http://schemas.openxmlformats.org/officeDocument/2006/relationships/hyperlink" Target="https://www.linkedin.com/in/mina-magdy-data-analyst/" TargetMode="External"/><Relationship Id="rId14" Type="http://schemas.openxmlformats.org/officeDocument/2006/relationships/hyperlink" Target="https://drive.google.com/open?id=1261rQ4Q3DdrrNot_smSue9XQciYRFrve" TargetMode="External"/><Relationship Id="rId17" Type="http://schemas.openxmlformats.org/officeDocument/2006/relationships/hyperlink" Target="http://www.linkedin.com/in/abdallah-ali-da" TargetMode="External"/><Relationship Id="rId16" Type="http://schemas.openxmlformats.org/officeDocument/2006/relationships/hyperlink" Target="https://drive.google.com/open?id=1O9yUVJofFhtWvATEcdl-XysqpiPCien8" TargetMode="External"/><Relationship Id="rId19" Type="http://schemas.openxmlformats.org/officeDocument/2006/relationships/hyperlink" Target="https://www.linkedin.com/in/mahmoud-samir-00028a29b?utm_source=share&amp;utm_campaign=share_via&amp;utm_content=profile&amp;utm_medium=android_app" TargetMode="External"/><Relationship Id="rId510" Type="http://schemas.openxmlformats.org/officeDocument/2006/relationships/hyperlink" Target="https://drive.google.com/open?id=1HXBiph8AX31vt5puGLWYUaCk9HwY_1yt" TargetMode="External"/><Relationship Id="rId752" Type="http://schemas.openxmlformats.org/officeDocument/2006/relationships/hyperlink" Target="https://www.linkedin.com/in/eng-ali-elgazzar-3ab02922a?utm_source=share&amp;utm_campaign=share_via&amp;utm_content=profile&amp;utm_medium=android_app" TargetMode="External"/><Relationship Id="rId18" Type="http://schemas.openxmlformats.org/officeDocument/2006/relationships/hyperlink" Target="https://drive.google.com/open?id=14Efa4v3d5XHTnImaI-DTv1ohDZo_tPZx" TargetMode="External"/><Relationship Id="rId751" Type="http://schemas.openxmlformats.org/officeDocument/2006/relationships/hyperlink" Target="https://drive.google.com/open?id=17n1ruH5LYyCRcq_2__7bkzZPGj9Mv5ws" TargetMode="External"/><Relationship Id="rId750" Type="http://schemas.openxmlformats.org/officeDocument/2006/relationships/hyperlink" Target="https://www.linkedin.com/in/mohamed-elsamra-68570b109?utm_source=share_via&amp;utm_content=profile&amp;utm_medium=member_android" TargetMode="External"/><Relationship Id="rId84" Type="http://schemas.openxmlformats.org/officeDocument/2006/relationships/hyperlink" Target="https://drive.google.com/open?id=1ZnxshsDrTQbDfwepP2YYQSERB4xylCyv" TargetMode="External"/><Relationship Id="rId83" Type="http://schemas.openxmlformats.org/officeDocument/2006/relationships/hyperlink" Target="https://drive.google.com/open?id=1A6hKeZJjngnbHpwhD9aJrn8wQL8jGXKP" TargetMode="External"/><Relationship Id="rId86" Type="http://schemas.openxmlformats.org/officeDocument/2006/relationships/hyperlink" Target="https://drive.google.com/open?id=1NzVFr33QT8FlQAZShYAK0EArKP14yKFP" TargetMode="External"/><Relationship Id="rId85" Type="http://schemas.openxmlformats.org/officeDocument/2006/relationships/hyperlink" Target="https://www.linkedin.com/in/y-kandil?utm_source=share&amp;utm_campaign=share_via&amp;utm_content=profile&amp;utm_medium=android_app" TargetMode="External"/><Relationship Id="rId88" Type="http://schemas.openxmlformats.org/officeDocument/2006/relationships/hyperlink" Target="https://drive.google.com/open?id=1eNXV0TJMSwnqwxXhHP5VmkrStpfyDSeV" TargetMode="External"/><Relationship Id="rId87" Type="http://schemas.openxmlformats.org/officeDocument/2006/relationships/hyperlink" Target="https://www.linkedin.com/in/mohamed-refaat-7a96aa245?utm_source=share&amp;utm_campaign=share_via&amp;utm_content=profile&amp;utm_medium=android_app" TargetMode="External"/><Relationship Id="rId89" Type="http://schemas.openxmlformats.org/officeDocument/2006/relationships/hyperlink" Target="https://www.linkedin.com/in/maryam-a-595890204?utm_source=share&amp;utm_campaign=share_via&amp;utm_content=profile&amp;utm_medium=android_app" TargetMode="External"/><Relationship Id="rId709" Type="http://schemas.openxmlformats.org/officeDocument/2006/relationships/hyperlink" Target="https://drive.google.com/open?id=1Hc6ienXc9hPhM4DcnJHyG1uVVdoZD8X9" TargetMode="External"/><Relationship Id="rId708" Type="http://schemas.openxmlformats.org/officeDocument/2006/relationships/hyperlink" Target="https://www.linkedin.com/in/farouk-nasser-b21473317?utm_source=share&amp;utm_campaign=share_via&amp;utm_content=profile&amp;utm_medium=android_app" TargetMode="External"/><Relationship Id="rId707" Type="http://schemas.openxmlformats.org/officeDocument/2006/relationships/hyperlink" Target="https://drive.google.com/open?id=1qiDmxDshns2lx_UqPbKCAJDknhiye-fk" TargetMode="External"/><Relationship Id="rId706" Type="http://schemas.openxmlformats.org/officeDocument/2006/relationships/hyperlink" Target="http://www.linkedin.com/in/abdelrahman-sherif-8a4a8b241" TargetMode="External"/><Relationship Id="rId80" Type="http://schemas.openxmlformats.org/officeDocument/2006/relationships/hyperlink" Target="https://www.linkedin.com/in/randa-lakab-4b9125389?utm_source=share&amp;utm_campaign=share_via&amp;utm_content=profile&amp;utm_medium=android_app" TargetMode="External"/><Relationship Id="rId82" Type="http://schemas.openxmlformats.org/officeDocument/2006/relationships/hyperlink" Target="http://linkedin.com/in/sara-ehab-5969863a6" TargetMode="External"/><Relationship Id="rId81" Type="http://schemas.openxmlformats.org/officeDocument/2006/relationships/hyperlink" Target="https://drive.google.com/open?id=1qJir4-YN6dOvj9rojhm7PijIfPoTAHTz" TargetMode="External"/><Relationship Id="rId701" Type="http://schemas.openxmlformats.org/officeDocument/2006/relationships/hyperlink" Target="https://drive.google.com/open?id=1eupmcH75IOQ6nzM9il_b4mRUoXhmOBfk" TargetMode="External"/><Relationship Id="rId700" Type="http://schemas.openxmlformats.org/officeDocument/2006/relationships/hyperlink" Target="https://www.linkedin.com/in/omar-hussein-ahmed-b906a0356" TargetMode="External"/><Relationship Id="rId705" Type="http://schemas.openxmlformats.org/officeDocument/2006/relationships/hyperlink" Target="https://drive.google.com/open?id=1arNTct26z8OYDg3HRywLVwvlKqIE0vZP" TargetMode="External"/><Relationship Id="rId704" Type="http://schemas.openxmlformats.org/officeDocument/2006/relationships/hyperlink" Target="https://www.linkedin.com/in/omnia-hussein-6480b6238" TargetMode="External"/><Relationship Id="rId703" Type="http://schemas.openxmlformats.org/officeDocument/2006/relationships/hyperlink" Target="https://drive.google.com/open?id=1EIMYa5ZsPPqHL_yE_tRz8WoZ1RbRU8kP" TargetMode="External"/><Relationship Id="rId702" Type="http://schemas.openxmlformats.org/officeDocument/2006/relationships/hyperlink" Target="https://www.linkedin.com/in/mohab-magdy?utm_source=share_via&amp;utm_content=profile&amp;utm_medium=member_android" TargetMode="External"/><Relationship Id="rId73" Type="http://schemas.openxmlformats.org/officeDocument/2006/relationships/hyperlink" Target="https://drive.google.com/open?id=1PqsBeeIMG2HDbqBjtpv2qHPFl8zhoDA8" TargetMode="External"/><Relationship Id="rId72" Type="http://schemas.openxmlformats.org/officeDocument/2006/relationships/hyperlink" Target="https://www.linkedin.com/in/moaaz-zaki-495309303?utm_source=share_via&amp;utm_content=profile&amp;utm_medium=member_ios" TargetMode="External"/><Relationship Id="rId75" Type="http://schemas.openxmlformats.org/officeDocument/2006/relationships/hyperlink" Target="https://drive.google.com/open?id=1FBW5sLaFqYobqT-pNQHn732LKD6FZn94" TargetMode="External"/><Relationship Id="rId74" Type="http://schemas.openxmlformats.org/officeDocument/2006/relationships/hyperlink" Target="https://www.linkedin.com/in/mohamedhelmy24/" TargetMode="External"/><Relationship Id="rId77" Type="http://schemas.openxmlformats.org/officeDocument/2006/relationships/hyperlink" Target="https://drive.google.com/open?id=1sJZ7t4-keRnNe7UzYC3i-Dj_4ldv3jaY" TargetMode="External"/><Relationship Id="rId76" Type="http://schemas.openxmlformats.org/officeDocument/2006/relationships/hyperlink" Target="https://www.linkedin.com/in/amr-hussein-8b5aa9227" TargetMode="External"/><Relationship Id="rId79" Type="http://schemas.openxmlformats.org/officeDocument/2006/relationships/hyperlink" Target="https://drive.google.com/open?id=149zqTrxnSkfN5aqXijU9yIbbSpegxtx2" TargetMode="External"/><Relationship Id="rId78" Type="http://schemas.openxmlformats.org/officeDocument/2006/relationships/hyperlink" Target="https://www.linkedin.com/in/abdallahreda42/" TargetMode="External"/><Relationship Id="rId71" Type="http://schemas.openxmlformats.org/officeDocument/2006/relationships/hyperlink" Target="https://drive.google.com/open?id=1QB0nBaFdGbyyj9W4mzEIEcjp4941M2Cc" TargetMode="External"/><Relationship Id="rId70" Type="http://schemas.openxmlformats.org/officeDocument/2006/relationships/hyperlink" Target="https://drive.google.com/open?id=1MrHh-ThQpUghmN4r2LBWxySEoPrZeyPV" TargetMode="External"/><Relationship Id="rId62" Type="http://schemas.openxmlformats.org/officeDocument/2006/relationships/hyperlink" Target="https://drive.google.com/open?id=1QQVLd0EijDwtd0a4FOOm69T0yOgFP5dD" TargetMode="External"/><Relationship Id="rId61" Type="http://schemas.openxmlformats.org/officeDocument/2006/relationships/hyperlink" Target="https://www.linkedin.com/in/mohamed-samir-0966a5352" TargetMode="External"/><Relationship Id="rId64" Type="http://schemas.openxmlformats.org/officeDocument/2006/relationships/hyperlink" Target="https://drive.google.com/open?id=1cBQQrX3VkIwwtfMcsiIkhd7fYMN3nuHi" TargetMode="External"/><Relationship Id="rId63" Type="http://schemas.openxmlformats.org/officeDocument/2006/relationships/hyperlink" Target="https://www.linkedin.com/in/abdotech?utm_source=share_via&amp;utm_content=profile&amp;utm_medium=member_ios" TargetMode="External"/><Relationship Id="rId66" Type="http://schemas.openxmlformats.org/officeDocument/2006/relationships/hyperlink" Target="https://drive.google.com/open?id=1RnOMqoDAWLXpGkWQV9PVd5Hkp3Ic_tLb" TargetMode="External"/><Relationship Id="rId65" Type="http://schemas.openxmlformats.org/officeDocument/2006/relationships/hyperlink" Target="http://www.linkedin.com/in/radwa-elshater-654b47368" TargetMode="External"/><Relationship Id="rId68" Type="http://schemas.openxmlformats.org/officeDocument/2006/relationships/hyperlink" Target="https://drive.google.com/open?id=1jYmbvA1yyO0S75yrVpRonEoVKkegf50b" TargetMode="External"/><Relationship Id="rId67" Type="http://schemas.openxmlformats.org/officeDocument/2006/relationships/hyperlink" Target="https://www.linkedin.com/in/ammar-essam-84b47a2b7/" TargetMode="External"/><Relationship Id="rId729" Type="http://schemas.openxmlformats.org/officeDocument/2006/relationships/hyperlink" Target="https://drive.google.com/open?id=1SECKB6HCz1DX-pheoVwftPECGdreu-7b" TargetMode="External"/><Relationship Id="rId728" Type="http://schemas.openxmlformats.org/officeDocument/2006/relationships/hyperlink" Target="https://www.linkedin.com/in/mohamedmohabb/" TargetMode="External"/><Relationship Id="rId60" Type="http://schemas.openxmlformats.org/officeDocument/2006/relationships/hyperlink" Target="https://drive.google.com/open?id=1_zggP85YISU_LToqUoErn-3JYcYmbGhr" TargetMode="External"/><Relationship Id="rId723" Type="http://schemas.openxmlformats.org/officeDocument/2006/relationships/hyperlink" Target="https://drive.google.com/open?id=1LzK02uL20HpBQ_D_jJpyKXjYypM2Mh-5" TargetMode="External"/><Relationship Id="rId722" Type="http://schemas.openxmlformats.org/officeDocument/2006/relationships/hyperlink" Target="https://www.linkedin.com/in/mina-magdy-data-analyst/" TargetMode="External"/><Relationship Id="rId721" Type="http://schemas.openxmlformats.org/officeDocument/2006/relationships/hyperlink" Target="https://drive.google.com/open?id=1dDs3FgzYyWjdU8knrwbXFgEq5I36BAkB" TargetMode="External"/><Relationship Id="rId720" Type="http://schemas.openxmlformats.org/officeDocument/2006/relationships/hyperlink" Target="https://www.linkedin.com/in/hassan-sherif-956ab0265?utm_source=share&amp;utm_campaign=share_via&amp;utm_content=profile&amp;utm_medium=ios_app" TargetMode="External"/><Relationship Id="rId727" Type="http://schemas.openxmlformats.org/officeDocument/2006/relationships/hyperlink" Target="https://drive.google.com/open?id=1y6erC2xQAYwppnaG_N7dDrRrxZtSl8zJ" TargetMode="External"/><Relationship Id="rId726" Type="http://schemas.openxmlformats.org/officeDocument/2006/relationships/hyperlink" Target="https://www.linkedin.com/in/ibrahimashraf-abdelmuti" TargetMode="External"/><Relationship Id="rId725" Type="http://schemas.openxmlformats.org/officeDocument/2006/relationships/hyperlink" Target="https://drive.google.com/open?id=13jYCgCVWXFQ7da2x1TMTIAGhSK8pof1z" TargetMode="External"/><Relationship Id="rId724" Type="http://schemas.openxmlformats.org/officeDocument/2006/relationships/hyperlink" Target="https://www.linkedin.com/in/abdulrahman-sayed-elashry/" TargetMode="External"/><Relationship Id="rId69" Type="http://schemas.openxmlformats.org/officeDocument/2006/relationships/hyperlink" Target="https://www.linkedin.com/in/medoox369" TargetMode="External"/><Relationship Id="rId51" Type="http://schemas.openxmlformats.org/officeDocument/2006/relationships/hyperlink" Target="https://www.linkedin.com/in/alaa-harb7" TargetMode="External"/><Relationship Id="rId50" Type="http://schemas.openxmlformats.org/officeDocument/2006/relationships/hyperlink" Target="https://drive.google.com/open?id=1OOKIHOjdU8SZBrfRBhN8WXJnu6cWI_BE" TargetMode="External"/><Relationship Id="rId53" Type="http://schemas.openxmlformats.org/officeDocument/2006/relationships/hyperlink" Target="https://www.linkedin.com/in/ibrahim-sharara" TargetMode="External"/><Relationship Id="rId52" Type="http://schemas.openxmlformats.org/officeDocument/2006/relationships/hyperlink" Target="https://drive.google.com/open?id=1T2JTFfnm4iLXUqbPNG6iYxiiK0eVC0vC" TargetMode="External"/><Relationship Id="rId55" Type="http://schemas.openxmlformats.org/officeDocument/2006/relationships/hyperlink" Target="https://www.linkedin.com/in/kareem-abd-elnasser-b0a298283?utm_source=share&amp;utm_campaign=share_via&amp;utm_content=profile&amp;utm_medium=android_app" TargetMode="External"/><Relationship Id="rId54" Type="http://schemas.openxmlformats.org/officeDocument/2006/relationships/hyperlink" Target="https://drive.google.com/open?id=1YiZsihuFtRwBs41GAxQ7uM8AaQc7iB9D" TargetMode="External"/><Relationship Id="rId57" Type="http://schemas.openxmlformats.org/officeDocument/2006/relationships/hyperlink" Target="https://www.linkedin.com/in/rawda-labib-3b4b1924b" TargetMode="External"/><Relationship Id="rId56" Type="http://schemas.openxmlformats.org/officeDocument/2006/relationships/hyperlink" Target="https://drive.google.com/open?id=1ACHVbqlTffwcdyl2GQtKc_hMdklqY8c6" TargetMode="External"/><Relationship Id="rId719" Type="http://schemas.openxmlformats.org/officeDocument/2006/relationships/hyperlink" Target="https://drive.google.com/open?id=1is2KvaZOB-3_3YIOkKLawFIp8b4Jds54" TargetMode="External"/><Relationship Id="rId718" Type="http://schemas.openxmlformats.org/officeDocument/2006/relationships/hyperlink" Target="https://www.linkedin.com/in/asmaa-essam-19bb5b314/" TargetMode="External"/><Relationship Id="rId717" Type="http://schemas.openxmlformats.org/officeDocument/2006/relationships/hyperlink" Target="https://drive.google.com/open?id=1PKvtzB9UwyAQvwxoLn-zltGjKGknoU3N" TargetMode="External"/><Relationship Id="rId712" Type="http://schemas.openxmlformats.org/officeDocument/2006/relationships/hyperlink" Target="https://www.linkedin.com/in/mohammdahmedmahgoup" TargetMode="External"/><Relationship Id="rId711" Type="http://schemas.openxmlformats.org/officeDocument/2006/relationships/hyperlink" Target="https://drive.google.com/open?id=1tMSA9Ygg1hKnuqI0OiZ1oOj78m4yYfzw" TargetMode="External"/><Relationship Id="rId710" Type="http://schemas.openxmlformats.org/officeDocument/2006/relationships/hyperlink" Target="https://www.linkedin.com/in/yousef-mohamed-70ba6b26b/" TargetMode="External"/><Relationship Id="rId716" Type="http://schemas.openxmlformats.org/officeDocument/2006/relationships/hyperlink" Target="https://www.linkedin.com/in/ahmed-shehab123/" TargetMode="External"/><Relationship Id="rId715" Type="http://schemas.openxmlformats.org/officeDocument/2006/relationships/hyperlink" Target="https://drive.google.com/open?id=1K5RILy4YxHjW8FUl30nAuhCJD5htvILY" TargetMode="External"/><Relationship Id="rId714" Type="http://schemas.openxmlformats.org/officeDocument/2006/relationships/hyperlink" Target="http://www.linkedin.com/in/mohammad-almukadam" TargetMode="External"/><Relationship Id="rId713" Type="http://schemas.openxmlformats.org/officeDocument/2006/relationships/hyperlink" Target="https://drive.google.com/open?id=1UHeX7vFO-1oYkqOtDJL3naKm_PlozAix" TargetMode="External"/><Relationship Id="rId59" Type="http://schemas.openxmlformats.org/officeDocument/2006/relationships/hyperlink" Target="http://www.linkedin.com/in/mohammad-al-mukadam" TargetMode="External"/><Relationship Id="rId58" Type="http://schemas.openxmlformats.org/officeDocument/2006/relationships/hyperlink" Target="https://drive.google.com/open?id=13_aaoa6-DN4GeZJlXjv9zZ7vUyc9SEmO" TargetMode="External"/><Relationship Id="rId590" Type="http://schemas.openxmlformats.org/officeDocument/2006/relationships/hyperlink" Target="https://www.linkedin.com/in/norhan-khaled1" TargetMode="External"/><Relationship Id="rId107" Type="http://schemas.openxmlformats.org/officeDocument/2006/relationships/hyperlink" Target="https://drive.google.com/open?id=19fDfmx1X7aGHPhXViB6C4brpWCIEG0Ph" TargetMode="External"/><Relationship Id="rId349" Type="http://schemas.openxmlformats.org/officeDocument/2006/relationships/hyperlink" Target="https://drive.google.com/open?id=1u03MwSvjOSCIFNXvQ_qxxV7pFfUUneAR" TargetMode="External"/><Relationship Id="rId106" Type="http://schemas.openxmlformats.org/officeDocument/2006/relationships/hyperlink" Target="https://www.linkedin.com/in/abdelrahmqn-mohamed" TargetMode="External"/><Relationship Id="rId348" Type="http://schemas.openxmlformats.org/officeDocument/2006/relationships/hyperlink" Target="https://www.linkedin.com/in/nora-khaled-hassan?utm_source=share&amp;utm_campaign=share_via&amp;utm_content=profile&amp;utm_medium=android_app" TargetMode="External"/><Relationship Id="rId105" Type="http://schemas.openxmlformats.org/officeDocument/2006/relationships/hyperlink" Target="https://drive.google.com/open?id=1MtpsY3w5UfCBj2guBRx2VLiybwpAnC9b" TargetMode="External"/><Relationship Id="rId347" Type="http://schemas.openxmlformats.org/officeDocument/2006/relationships/hyperlink" Target="https://drive.google.com/open?id=14c6r-dVdN9h4IA-CAgU0c2np3UQHRFDm" TargetMode="External"/><Relationship Id="rId589" Type="http://schemas.openxmlformats.org/officeDocument/2006/relationships/hyperlink" Target="https://drive.google.com/open?id=1da-UacJsBwAZHixz4Iz8hCFt34lrPlmI" TargetMode="External"/><Relationship Id="rId104" Type="http://schemas.openxmlformats.org/officeDocument/2006/relationships/hyperlink" Target="https://drive.google.com/open?id=1dHK1MyOkCcEcHgnyYozkMQYer3Vt55-n" TargetMode="External"/><Relationship Id="rId346" Type="http://schemas.openxmlformats.org/officeDocument/2006/relationships/hyperlink" Target="https://www.linkedin.com/in/yussef-elkholy-a08331235?utm_source=share&amp;utm_campaign=share_via&amp;utm_content=profile&amp;utm_medium=android_app" TargetMode="External"/><Relationship Id="rId588" Type="http://schemas.openxmlformats.org/officeDocument/2006/relationships/hyperlink" Target="https://www.linkedin.com/in/yomna-soror-560930340?utm_source=share_via&amp;utm_content=profile&amp;utm_medium=member_android" TargetMode="External"/><Relationship Id="rId109" Type="http://schemas.openxmlformats.org/officeDocument/2006/relationships/hyperlink" Target="https://drive.google.com/open?id=1JCPvoxUoFVLW7GM6BarM6b6VRNf0764u" TargetMode="External"/><Relationship Id="rId108" Type="http://schemas.openxmlformats.org/officeDocument/2006/relationships/hyperlink" Target="https://www.linkedin.com/in/sama-nigm-el-dine-b77895281?utm_source=share&amp;utm_campaign=share_via&amp;utm_content=profile&amp;utm_medium=android_app" TargetMode="External"/><Relationship Id="rId341" Type="http://schemas.openxmlformats.org/officeDocument/2006/relationships/hyperlink" Target="https://drive.google.com/open?id=1NygKn6reQKufYGflRmoziFSj0d59_vkj" TargetMode="External"/><Relationship Id="rId583" Type="http://schemas.openxmlformats.org/officeDocument/2006/relationships/hyperlink" Target="https://drive.google.com/open?id=1xFu8mEV-Kz9Tx4pWDpVzUOZrV9QGsgxX" TargetMode="External"/><Relationship Id="rId340" Type="http://schemas.openxmlformats.org/officeDocument/2006/relationships/hyperlink" Target="https://www.linkedin.com/in/al-moatasem-bellah-osama2/" TargetMode="External"/><Relationship Id="rId582" Type="http://schemas.openxmlformats.org/officeDocument/2006/relationships/hyperlink" Target="http://www.linkedin.com/in/abdallah-ali-da" TargetMode="External"/><Relationship Id="rId581" Type="http://schemas.openxmlformats.org/officeDocument/2006/relationships/hyperlink" Target="https://drive.google.com/open?id=15yhE4Cbj9sBigOVuZmp9vJpkrwtbhsGI" TargetMode="External"/><Relationship Id="rId580" Type="http://schemas.openxmlformats.org/officeDocument/2006/relationships/hyperlink" Target="https://www.linkedin.com/in/mohamed-ashraf-0-" TargetMode="External"/><Relationship Id="rId103" Type="http://schemas.openxmlformats.org/officeDocument/2006/relationships/hyperlink" Target="https://www.linkedin.com/in/mahmoud-sleem0?utm_source=share&amp;utm_campaign=share_via&amp;utm_content=profile&amp;utm_medium=android_app" TargetMode="External"/><Relationship Id="rId345" Type="http://schemas.openxmlformats.org/officeDocument/2006/relationships/hyperlink" Target="https://drive.google.com/open?id=1PxXNZrNoS7GJUBTda4dGYBDUN5FA0weU" TargetMode="External"/><Relationship Id="rId587" Type="http://schemas.openxmlformats.org/officeDocument/2006/relationships/hyperlink" Target="https://drive.google.com/open?id=1M2lYpuY8uvqAmPpvZo0WSetOHWaNMTQr" TargetMode="External"/><Relationship Id="rId102" Type="http://schemas.openxmlformats.org/officeDocument/2006/relationships/hyperlink" Target="https://drive.google.com/open?id=1D_ZCEYRz2CjhqwCUHZ6EG69JJw_nQWwS" TargetMode="External"/><Relationship Id="rId344" Type="http://schemas.openxmlformats.org/officeDocument/2006/relationships/hyperlink" Target="https://www.linkedin.com/in/samar-ghoneim-b27b68206" TargetMode="External"/><Relationship Id="rId586" Type="http://schemas.openxmlformats.org/officeDocument/2006/relationships/hyperlink" Target="https://www.linkedin.com/in/mohamed-reedy?" TargetMode="External"/><Relationship Id="rId101" Type="http://schemas.openxmlformats.org/officeDocument/2006/relationships/hyperlink" Target="https://www.linkedin.com/in/mohamedalmansoury/" TargetMode="External"/><Relationship Id="rId343" Type="http://schemas.openxmlformats.org/officeDocument/2006/relationships/hyperlink" Target="https://drive.google.com/open?id=1PerWfVKtqTtFZHw-8Seq-UyJ8GqzHLn0" TargetMode="External"/><Relationship Id="rId585" Type="http://schemas.openxmlformats.org/officeDocument/2006/relationships/hyperlink" Target="https://drive.google.com/open?id=13ATzEE7uGr8uvud0_iU0rRN0ArjvDiaA" TargetMode="External"/><Relationship Id="rId100" Type="http://schemas.openxmlformats.org/officeDocument/2006/relationships/hyperlink" Target="https://drive.google.com/open?id=18ueT5UiwwiNy8-cRfj9ptMLX1paH5c9q" TargetMode="External"/><Relationship Id="rId342" Type="http://schemas.openxmlformats.org/officeDocument/2006/relationships/hyperlink" Target="https://www.linkedin.com/in/ibrahim-abdelnasar?utm_source=share&amp;utm_campaign=share_via&amp;utm_content=profile&amp;utm_medium=ios_app" TargetMode="External"/><Relationship Id="rId584" Type="http://schemas.openxmlformats.org/officeDocument/2006/relationships/hyperlink" Target="https://www.linkedin.com/in/ebrahim-elshazly-b066552a8/" TargetMode="External"/><Relationship Id="rId338" Type="http://schemas.openxmlformats.org/officeDocument/2006/relationships/hyperlink" Target="https://www.linkedin.com/in/tassnem-mohamed-309aaa325?utm_source=share&amp;utm_campaign=share_via&amp;utm_content=profile&amp;utm_medium=ios_app" TargetMode="External"/><Relationship Id="rId337" Type="http://schemas.openxmlformats.org/officeDocument/2006/relationships/hyperlink" Target="https://drive.google.com/open?id=1ZuHdgoBSiVTTKkWBAnyeNuazCGW2TyDM" TargetMode="External"/><Relationship Id="rId579" Type="http://schemas.openxmlformats.org/officeDocument/2006/relationships/hyperlink" Target="https://drive.google.com/open?id=1d4roCJuG6DvipDS7w1ZXngZpFEMau6Yl" TargetMode="External"/><Relationship Id="rId336" Type="http://schemas.openxmlformats.org/officeDocument/2006/relationships/hyperlink" Target="https://www.linkedin.com/in/a7med-elgo7ary" TargetMode="External"/><Relationship Id="rId578" Type="http://schemas.openxmlformats.org/officeDocument/2006/relationships/hyperlink" Target="https://www.linkedin.com/in/omar-zanaty-9b8769321?utm_source=share_via&amp;utm_content=profile&amp;utm_medium=member_android" TargetMode="External"/><Relationship Id="rId335" Type="http://schemas.openxmlformats.org/officeDocument/2006/relationships/hyperlink" Target="https://drive.google.com/open?id=1387X2vIAZHBNC7CU4VsehjXPEx10kMh2" TargetMode="External"/><Relationship Id="rId577" Type="http://schemas.openxmlformats.org/officeDocument/2006/relationships/hyperlink" Target="https://drive.google.com/open?id=1BeAHGdY2vSOQjl0Cr8Iv_gCMAeJPYEC2" TargetMode="External"/><Relationship Id="rId339" Type="http://schemas.openxmlformats.org/officeDocument/2006/relationships/hyperlink" Target="https://drive.google.com/open?id=16c93lJso8UYSWJ5lFaUvD4pFizU-A_ek" TargetMode="External"/><Relationship Id="rId330" Type="http://schemas.openxmlformats.org/officeDocument/2006/relationships/hyperlink" Target="https://www.linkedin.com/in/mahmoud-elbahloul-858429368?utm_source=share&amp;utm_campaign=share_via&amp;utm_content=profile&amp;utm_medium=ios_app" TargetMode="External"/><Relationship Id="rId572" Type="http://schemas.openxmlformats.org/officeDocument/2006/relationships/hyperlink" Target="https://www.linkedin.com/in/mohamed-mahmoud-72a1a6310?utm_source=share&amp;utm_campaign=share_via&amp;utm_content=profile&amp;utm_medium=android_app" TargetMode="External"/><Relationship Id="rId571" Type="http://schemas.openxmlformats.org/officeDocument/2006/relationships/hyperlink" Target="https://drive.google.com/open?id=1PUAGgXHo2ndh1jFAUMCeaqSPuHFm8-Ky" TargetMode="External"/><Relationship Id="rId570" Type="http://schemas.openxmlformats.org/officeDocument/2006/relationships/hyperlink" Target="http://linkedin.com/in/asem-elkassas" TargetMode="External"/><Relationship Id="rId334" Type="http://schemas.openxmlformats.org/officeDocument/2006/relationships/hyperlink" Target="https://www.linkedin.com/in/ziad-youssef-194744389?utm_source=share&amp;utm_campaign=share_via&amp;utm_content=profile&amp;utm_medium=android_app" TargetMode="External"/><Relationship Id="rId576" Type="http://schemas.openxmlformats.org/officeDocument/2006/relationships/hyperlink" Target="https://www.linkedin.com/in/roqaia-ragab-b9b391321?utm_source=share_via&amp;utm_content=profile&amp;utm_medium=member_android" TargetMode="External"/><Relationship Id="rId333" Type="http://schemas.openxmlformats.org/officeDocument/2006/relationships/hyperlink" Target="https://drive.google.com/open?id=1ezNTLIN4JXHu_E46TRztLoBOqhuRAmJx" TargetMode="External"/><Relationship Id="rId575" Type="http://schemas.openxmlformats.org/officeDocument/2006/relationships/hyperlink" Target="https://drive.google.com/open?id=1-G1RfkJsFv5Zw83990Y_Eld9orTg-7ar" TargetMode="External"/><Relationship Id="rId332" Type="http://schemas.openxmlformats.org/officeDocument/2006/relationships/hyperlink" Target="https://www.linkedin.com/in/mohamed-abdeltawwab-badr-b4a18426b?utm_source=share&amp;utm_campaign=share_via&amp;utm_content=profile&amp;utm_medium=ios_app" TargetMode="External"/><Relationship Id="rId574" Type="http://schemas.openxmlformats.org/officeDocument/2006/relationships/hyperlink" Target="https://www.linkedin.com/in/mariam-hany-715b89279?utm_source=share&amp;utm_campaign=share_via&amp;utm_content=profile&amp;utm_medium=android_app" TargetMode="External"/><Relationship Id="rId331" Type="http://schemas.openxmlformats.org/officeDocument/2006/relationships/hyperlink" Target="https://drive.google.com/open?id=1kqa2RzIMZnbvblHkHIN5g0SgdGGWA2dM" TargetMode="External"/><Relationship Id="rId573" Type="http://schemas.openxmlformats.org/officeDocument/2006/relationships/hyperlink" Target="https://drive.google.com/open?id=1zBThEanx2U5IZJcDYQS4iqb4mXPy4WdE" TargetMode="External"/><Relationship Id="rId370" Type="http://schemas.openxmlformats.org/officeDocument/2006/relationships/hyperlink" Target="https://drive.google.com/open?id=1hRMjznMoHJvyi9M5ajkIeCFtvlAPavoW" TargetMode="External"/><Relationship Id="rId129" Type="http://schemas.openxmlformats.org/officeDocument/2006/relationships/hyperlink" Target="https://www.linkedin.com/in/habiba-zayed-65a6632b9?utm_source=share&amp;utm_campaign=share_via&amp;utm_content=profile&amp;utm_medium=android_app" TargetMode="External"/><Relationship Id="rId128" Type="http://schemas.openxmlformats.org/officeDocument/2006/relationships/hyperlink" Target="https://drive.google.com/open?id=1v2Q_hozs2zFiaYCaCK5CWrIxWQmcDXHS" TargetMode="External"/><Relationship Id="rId127" Type="http://schemas.openxmlformats.org/officeDocument/2006/relationships/hyperlink" Target="https://drive.google.com/open?id=1K73PJSiFWFxzk87kUFfDoh0iAo7vfm1j" TargetMode="External"/><Relationship Id="rId369" Type="http://schemas.openxmlformats.org/officeDocument/2006/relationships/hyperlink" Target="https://www.linkedin.com/in/toka-magdy-719806320/" TargetMode="External"/><Relationship Id="rId126" Type="http://schemas.openxmlformats.org/officeDocument/2006/relationships/hyperlink" Target="https://www.linkedin.com/in/mohamed-alaa-62206229b?utm_source=share&amp;utm_campaign=share_via&amp;utm_content=profile&amp;utm_medium=android_app" TargetMode="External"/><Relationship Id="rId368" Type="http://schemas.openxmlformats.org/officeDocument/2006/relationships/hyperlink" Target="https://drive.google.com/open?id=1yXMtcYRi22wrJeRXQS268BxCRuDZwabE" TargetMode="External"/><Relationship Id="rId121" Type="http://schemas.openxmlformats.org/officeDocument/2006/relationships/hyperlink" Target="https://drive.google.com/open?id=1p2APDAdq20J83H8wywPba_6qJYDKYOiU" TargetMode="External"/><Relationship Id="rId363" Type="http://schemas.openxmlformats.org/officeDocument/2006/relationships/hyperlink" Target="https://drive.google.com/open?id=14G7SidSc-ChFhwyP9_I62OPVkZXTX5hJ" TargetMode="External"/><Relationship Id="rId120" Type="http://schemas.openxmlformats.org/officeDocument/2006/relationships/hyperlink" Target="https://www.linkedin.com/in/mohamed-mahmoud-72a1a6310?utm_source=share&amp;utm_campaign=share_via&amp;utm_content=profile&amp;utm_medium=android_app" TargetMode="External"/><Relationship Id="rId362" Type="http://schemas.openxmlformats.org/officeDocument/2006/relationships/hyperlink" Target="https://www.linkedin.com/in/mohamed-ayman-2b701320a" TargetMode="External"/><Relationship Id="rId361" Type="http://schemas.openxmlformats.org/officeDocument/2006/relationships/hyperlink" Target="https://drive.google.com/open?id=1wcTL2iRTbBueV_EM_5vQTjdXW0Z1gMAW" TargetMode="External"/><Relationship Id="rId360" Type="http://schemas.openxmlformats.org/officeDocument/2006/relationships/hyperlink" Target="http://www.linkedin.com/in/joox" TargetMode="External"/><Relationship Id="rId125" Type="http://schemas.openxmlformats.org/officeDocument/2006/relationships/hyperlink" Target="https://drive.google.com/open?id=1G8K4BxI6gqkrsE1j6Rlt8mA1LoLM0enD" TargetMode="External"/><Relationship Id="rId367" Type="http://schemas.openxmlformats.org/officeDocument/2006/relationships/hyperlink" Target="https://drive.google.com/open?id=15St5z-pCbm4kOFqC4eqfGO6Di5LWqwr1" TargetMode="External"/><Relationship Id="rId124" Type="http://schemas.openxmlformats.org/officeDocument/2006/relationships/hyperlink" Target="https://www.linkedin.com/in/yousseffahmy-data-analyst?utm_source=share&amp;utm_campaign=share_via&amp;utm_content=profile&amp;utm_medium=android_app" TargetMode="External"/><Relationship Id="rId366" Type="http://schemas.openxmlformats.org/officeDocument/2006/relationships/hyperlink" Target="https://www.linkedin.com/in/dina-ahmed-21675b134?utm_source=share&amp;utm_campaign=share_via&amp;utm_content=profile&amp;utm_medium=ios_app" TargetMode="External"/><Relationship Id="rId123" Type="http://schemas.openxmlformats.org/officeDocument/2006/relationships/hyperlink" Target="https://drive.google.com/open?id=16HW8e3GWrCcERMFZ1boMAUxWCfe_eqqp" TargetMode="External"/><Relationship Id="rId365" Type="http://schemas.openxmlformats.org/officeDocument/2006/relationships/hyperlink" Target="https://drive.google.com/open?id=1EbJvlpSPEwNSwgdLPxH5kkn2CDjrZZ2P" TargetMode="External"/><Relationship Id="rId122" Type="http://schemas.openxmlformats.org/officeDocument/2006/relationships/hyperlink" Target="https://www.linkedin.com/in/ahmed-mohamed-kamel" TargetMode="External"/><Relationship Id="rId364" Type="http://schemas.openxmlformats.org/officeDocument/2006/relationships/hyperlink" Target="http://linkedin.com/in/sahar-amr-6a3073227" TargetMode="External"/><Relationship Id="rId95" Type="http://schemas.openxmlformats.org/officeDocument/2006/relationships/hyperlink" Target="https://www.linkedin.com/in/nada-bastawi-4a4621278?utm_source=share&amp;utm_campaign=share_via&amp;utm_content=profile&amp;utm_medium=android_app" TargetMode="External"/><Relationship Id="rId94" Type="http://schemas.openxmlformats.org/officeDocument/2006/relationships/hyperlink" Target="https://drive.google.com/open?id=1JC0f1ARpOGTHPRTmzUPlucehAh-Uw8qk" TargetMode="External"/><Relationship Id="rId97" Type="http://schemas.openxmlformats.org/officeDocument/2006/relationships/hyperlink" Target="https://www.linkedin.com/in/samaa-hassanein-7a47033a1?utm_source=share&amp;utm_campaign=share_via&amp;utm_content=profile&amp;utm_medium=android_app" TargetMode="External"/><Relationship Id="rId96" Type="http://schemas.openxmlformats.org/officeDocument/2006/relationships/hyperlink" Target="https://drive.google.com/open?id=1VA5-4hceJaiR_BrWtvdI04i50widh5PT" TargetMode="External"/><Relationship Id="rId99" Type="http://schemas.openxmlformats.org/officeDocument/2006/relationships/hyperlink" Target="https://www.linkedin.com/in/muhammad-ehab-khalil/" TargetMode="External"/><Relationship Id="rId98" Type="http://schemas.openxmlformats.org/officeDocument/2006/relationships/hyperlink" Target="https://drive.google.com/open?id=1CoYT0cKbwEt--n4B7sEKEefYOQOQemty" TargetMode="External"/><Relationship Id="rId91" Type="http://schemas.openxmlformats.org/officeDocument/2006/relationships/hyperlink" Target="https://www.linkedin.com/in/mostafa-al-afify-bb99bb376" TargetMode="External"/><Relationship Id="rId90" Type="http://schemas.openxmlformats.org/officeDocument/2006/relationships/hyperlink" Target="https://drive.google.com/open?id=1pEKoAwibGfOojboNfjqczI12Wwn2e-kg" TargetMode="External"/><Relationship Id="rId93" Type="http://schemas.openxmlformats.org/officeDocument/2006/relationships/hyperlink" Target="https://www.linkedin.com/in/mohamedhamada10" TargetMode="External"/><Relationship Id="rId92" Type="http://schemas.openxmlformats.org/officeDocument/2006/relationships/hyperlink" Target="https://drive.google.com/open?id=1QjTVQyTbw-dth5MJpJWG0E_G6zNK5nvl" TargetMode="External"/><Relationship Id="rId118" Type="http://schemas.openxmlformats.org/officeDocument/2006/relationships/hyperlink" Target="https://www.linkedin.com/in/hazem-bassiouni" TargetMode="External"/><Relationship Id="rId117" Type="http://schemas.openxmlformats.org/officeDocument/2006/relationships/hyperlink" Target="https://drive.google.com/open?id=1sJkKYjHdu4QLSCW0XxCmSdwUvL6drWOC" TargetMode="External"/><Relationship Id="rId359" Type="http://schemas.openxmlformats.org/officeDocument/2006/relationships/hyperlink" Target="https://drive.google.com/open?id=1_Os0Saw6tiZZInQdZ9omnqRvQTP6xHKv" TargetMode="External"/><Relationship Id="rId116" Type="http://schemas.openxmlformats.org/officeDocument/2006/relationships/hyperlink" Target="http://www.linkedin.com/in/mennakamel1" TargetMode="External"/><Relationship Id="rId358" Type="http://schemas.openxmlformats.org/officeDocument/2006/relationships/hyperlink" Target="https://drive.google.com/open?id=1eL2LoyM9nSZhrmB6HkbLUBpXCggV0oIa" TargetMode="External"/><Relationship Id="rId115" Type="http://schemas.openxmlformats.org/officeDocument/2006/relationships/hyperlink" Target="https://drive.google.com/open?id=1EavC_qF53e5tlNLfwzsWCcPEfPFHmNnm" TargetMode="External"/><Relationship Id="rId357" Type="http://schemas.openxmlformats.org/officeDocument/2006/relationships/hyperlink" Target="https://www.linkedin.com/in/mohamed-awad-eru?utm_source=share&amp;utm_campaign=share_via&amp;utm_content=profile&amp;utm_medium=android_app" TargetMode="External"/><Relationship Id="rId599" Type="http://schemas.openxmlformats.org/officeDocument/2006/relationships/hyperlink" Target="https://drive.google.com/open?id=1P4K0bZueyntuqdPza62gCSsd7t0Moz_M" TargetMode="External"/><Relationship Id="rId119" Type="http://schemas.openxmlformats.org/officeDocument/2006/relationships/hyperlink" Target="https://drive.google.com/open?id=1pGuOd4IKbEhHMwtrEDEoqoo4fQ6GBFKO" TargetMode="External"/><Relationship Id="rId110" Type="http://schemas.openxmlformats.org/officeDocument/2006/relationships/hyperlink" Target="http://www.linkedin.com/in/ahmed-diboo" TargetMode="External"/><Relationship Id="rId352" Type="http://schemas.openxmlformats.org/officeDocument/2006/relationships/hyperlink" Target="https://drive.google.com/open?id=1GE_t74zWJHGQ1lvOTG0fHOEhCOwzVxhc" TargetMode="External"/><Relationship Id="rId594" Type="http://schemas.openxmlformats.org/officeDocument/2006/relationships/hyperlink" Target="http://www.linkedin.com/in/amr-ashraf-" TargetMode="External"/><Relationship Id="rId351" Type="http://schemas.openxmlformats.org/officeDocument/2006/relationships/hyperlink" Target="https://drive.google.com/open?id=10NSwkp9pM5k3UZIwYsqmHxX4aA-6rv60" TargetMode="External"/><Relationship Id="rId593" Type="http://schemas.openxmlformats.org/officeDocument/2006/relationships/hyperlink" Target="https://drive.google.com/open?id=1ZgCxcgPyEf51gJtyxneCkreHAuwcjKSL" TargetMode="External"/><Relationship Id="rId350" Type="http://schemas.openxmlformats.org/officeDocument/2006/relationships/hyperlink" Target="https://www.linkedin.com/in/basma-alaa-4327a9264?utm_source=share&amp;utm_campaign=share_via&amp;utm_content=profile&amp;utm_medium=android_app" TargetMode="External"/><Relationship Id="rId592" Type="http://schemas.openxmlformats.org/officeDocument/2006/relationships/hyperlink" Target="https://www.linkedin.com/in/sarah-fouda-ab0405357?trk=contact-info" TargetMode="External"/><Relationship Id="rId591" Type="http://schemas.openxmlformats.org/officeDocument/2006/relationships/hyperlink" Target="https://drive.google.com/open?id=1T_HiY74UsXF6rLVoviPfLYL6YTnXvypC" TargetMode="External"/><Relationship Id="rId114" Type="http://schemas.openxmlformats.org/officeDocument/2006/relationships/hyperlink" Target="https://www.linkedin.com/me?trk=p_mwlite_feed-secondary_nav" TargetMode="External"/><Relationship Id="rId356" Type="http://schemas.openxmlformats.org/officeDocument/2006/relationships/hyperlink" Target="https://drive.google.com/open?id=1kFeRxaL_3m2Uo1M4hjR2jQAJUeREonpM" TargetMode="External"/><Relationship Id="rId598" Type="http://schemas.openxmlformats.org/officeDocument/2006/relationships/hyperlink" Target="https://www.linkedin.com/in/eman-elnaggar-6529a72b8?utm_source=share&amp;utm_campaign=share_via&amp;utm_content=profile&amp;utm_medium=android_app" TargetMode="External"/><Relationship Id="rId113" Type="http://schemas.openxmlformats.org/officeDocument/2006/relationships/hyperlink" Target="https://drive.google.com/open?id=1PRbvSKWZv8Y1Jgn7lT2aGXzY35j-lWXf" TargetMode="External"/><Relationship Id="rId355" Type="http://schemas.openxmlformats.org/officeDocument/2006/relationships/hyperlink" Target="https://www.linkedin.com/in/menaz-salah-ab9b64316?utm_source=share&amp;utm_campaign=share_via&amp;utm_content=profile&amp;utm_medium=android_app" TargetMode="External"/><Relationship Id="rId597" Type="http://schemas.openxmlformats.org/officeDocument/2006/relationships/hyperlink" Target="https://drive.google.com/open?id=1IWRR8h4l-Fd0rkTMsRVwgGGEHAng0iY-" TargetMode="External"/><Relationship Id="rId112" Type="http://schemas.openxmlformats.org/officeDocument/2006/relationships/hyperlink" Target="https://www.linkedin.com/in/aya-hussien-5ba033229?utm_source=share&amp;utm_campaign=share_via&amp;utm_content=profile&amp;utm_medium=android_app" TargetMode="External"/><Relationship Id="rId354" Type="http://schemas.openxmlformats.org/officeDocument/2006/relationships/hyperlink" Target="https://drive.google.com/open?id=1z9wSB4jJYVWJoTJ8tTAXNIihu2lNitvH" TargetMode="External"/><Relationship Id="rId596" Type="http://schemas.openxmlformats.org/officeDocument/2006/relationships/hyperlink" Target="http://www.linkedin.com/in/amr-el-zanaty" TargetMode="External"/><Relationship Id="rId111" Type="http://schemas.openxmlformats.org/officeDocument/2006/relationships/hyperlink" Target="https://drive.google.com/open?id=1zdjaHk-7xnQLi8UzzIrzdT999gHyJKiK" TargetMode="External"/><Relationship Id="rId353" Type="http://schemas.openxmlformats.org/officeDocument/2006/relationships/hyperlink" Target="https://www.linkedin.com/in/hader-mohamed-7963102b6?utm_source=share&amp;utm_campaign=share_via&amp;utm_content=profile&amp;utm_medium=android_app" TargetMode="External"/><Relationship Id="rId595" Type="http://schemas.openxmlformats.org/officeDocument/2006/relationships/hyperlink" Target="https://drive.google.com/open?id=1od0BNFb7mSKWZCQCRFJnYAwil39qIb2N" TargetMode="External"/><Relationship Id="rId305" Type="http://schemas.openxmlformats.org/officeDocument/2006/relationships/hyperlink" Target="https://drive.google.com/open?id=1ojyfRNVNlUgNtmqX-wviV6e5YQ7PG04i" TargetMode="External"/><Relationship Id="rId547" Type="http://schemas.openxmlformats.org/officeDocument/2006/relationships/hyperlink" Target="https://drive.google.com/open?id=1QG1iHe1s6EwoiTWMTvHSE65tOzgOElEf" TargetMode="External"/><Relationship Id="rId789" Type="http://schemas.openxmlformats.org/officeDocument/2006/relationships/hyperlink" Target="https://drive.google.com/open?id=1IFpyT9Y7kdElswIR03HAdg_pg-7Ki4nO" TargetMode="External"/><Relationship Id="rId304" Type="http://schemas.openxmlformats.org/officeDocument/2006/relationships/hyperlink" Target="https://www.linkedin.com/in/khaled-elsafy-3a75a0395?utm_source=share&amp;utm_campaign=share_via&amp;utm_content=profile&amp;utm_medium=android_app" TargetMode="External"/><Relationship Id="rId546" Type="http://schemas.openxmlformats.org/officeDocument/2006/relationships/hyperlink" Target="https://www.linkedin.com/in/omar-ezzat-ali-03b70628b" TargetMode="External"/><Relationship Id="rId788" Type="http://schemas.openxmlformats.org/officeDocument/2006/relationships/hyperlink" Target="https://www.linkedin.com/in/omar-nasser-047300280?utm_source=share&amp;utm_campaign=share_via&amp;utm_content=profile&amp;utm_medium=android_app" TargetMode="External"/><Relationship Id="rId303" Type="http://schemas.openxmlformats.org/officeDocument/2006/relationships/hyperlink" Target="https://drive.google.com/open?id=1HkcdevzNMNH1rZVXYkIWdJyep6QszaFj" TargetMode="External"/><Relationship Id="rId545" Type="http://schemas.openxmlformats.org/officeDocument/2006/relationships/hyperlink" Target="https://drive.google.com/open?id=1VW_MSVb6UTUERfuvo_XQxH87CheEDWRc" TargetMode="External"/><Relationship Id="rId787" Type="http://schemas.openxmlformats.org/officeDocument/2006/relationships/hyperlink" Target="https://drive.google.com/open?id=1HeSDhlkm-e_Nm43onYjSA37ruEaqV22_" TargetMode="External"/><Relationship Id="rId302" Type="http://schemas.openxmlformats.org/officeDocument/2006/relationships/hyperlink" Target="https://www.linkedin.com/in/renad-wael-taha" TargetMode="External"/><Relationship Id="rId544" Type="http://schemas.openxmlformats.org/officeDocument/2006/relationships/hyperlink" Target="https://www.linkedin.com/in/ahmed-hussein-10a525366" TargetMode="External"/><Relationship Id="rId786" Type="http://schemas.openxmlformats.org/officeDocument/2006/relationships/hyperlink" Target="https://www.linkedin.com/in/nada-osama-fikry" TargetMode="External"/><Relationship Id="rId309" Type="http://schemas.openxmlformats.org/officeDocument/2006/relationships/hyperlink" Target="https://drive.google.com/open?id=1cRiHsfe9W4wbKVtWsnkIqnpG938Jo09s" TargetMode="External"/><Relationship Id="rId308" Type="http://schemas.openxmlformats.org/officeDocument/2006/relationships/hyperlink" Target="https://www.linkedin.com/in/abdul-rahman-abdelalem-a70230372" TargetMode="External"/><Relationship Id="rId307" Type="http://schemas.openxmlformats.org/officeDocument/2006/relationships/hyperlink" Target="https://drive.google.com/open?id=1x4Oq_9ZKCzEdER-cqyhc42XDfAiWXMQK" TargetMode="External"/><Relationship Id="rId549" Type="http://schemas.openxmlformats.org/officeDocument/2006/relationships/hyperlink" Target="https://drive.google.com/open?id=1Qsmuy64glWeILLuDsz69KNrECDkCHpO9" TargetMode="External"/><Relationship Id="rId306" Type="http://schemas.openxmlformats.org/officeDocument/2006/relationships/hyperlink" Target="http://www.linkedin.com/in/mona-gomaa-0061771b8" TargetMode="External"/><Relationship Id="rId548" Type="http://schemas.openxmlformats.org/officeDocument/2006/relationships/hyperlink" Target="https://www.linkedin.com/in/paula-samy-5097a2266/" TargetMode="External"/><Relationship Id="rId781" Type="http://schemas.openxmlformats.org/officeDocument/2006/relationships/hyperlink" Target="https://drive.google.com/open?id=1kG6wCyQsmtrDnsWunsZsw_vGaEKzwRQs" TargetMode="External"/><Relationship Id="rId780" Type="http://schemas.openxmlformats.org/officeDocument/2006/relationships/hyperlink" Target="https://www.linkedin.com/in/kareem-abdelrahman-495a03316?utm_source=share&amp;utm_campaign=share_via&amp;utm_content=profile&amp;utm_medium=android_app" TargetMode="External"/><Relationship Id="rId301" Type="http://schemas.openxmlformats.org/officeDocument/2006/relationships/hyperlink" Target="https://drive.google.com/open?id=1xWUnKC0jwKz5DbeGEb3F4qBlhpDzSuDL" TargetMode="External"/><Relationship Id="rId543" Type="http://schemas.openxmlformats.org/officeDocument/2006/relationships/hyperlink" Target="https://drive.google.com/open?id=1E6Pg3LuwNoj8ict0p-uz6xzT9uL_0OWe" TargetMode="External"/><Relationship Id="rId785" Type="http://schemas.openxmlformats.org/officeDocument/2006/relationships/hyperlink" Target="https://drive.google.com/open?id=1hCt2SXQG7wVMAzEEZNqNNwmWg44jBMuf" TargetMode="External"/><Relationship Id="rId300" Type="http://schemas.openxmlformats.org/officeDocument/2006/relationships/hyperlink" Target="https://www.linkedin.com/in/salma-saied-4315a4235/" TargetMode="External"/><Relationship Id="rId542" Type="http://schemas.openxmlformats.org/officeDocument/2006/relationships/hyperlink" Target="https://www.linkedin.com/in/malk-abdelkader-745a53317?utm_source=share&amp;utm_campaign=share_via&amp;utm_content=profile&amp;utm_medium=android_app" TargetMode="External"/><Relationship Id="rId784" Type="http://schemas.openxmlformats.org/officeDocument/2006/relationships/hyperlink" Target="http://www.linkedin.com/in/mohanad-ibrahim-business-analytics" TargetMode="External"/><Relationship Id="rId541" Type="http://schemas.openxmlformats.org/officeDocument/2006/relationships/hyperlink" Target="https://drive.google.com/open?id=1trmF7u75EBmTZTVBSapP7bOfQrwsRPEs" TargetMode="External"/><Relationship Id="rId783" Type="http://schemas.openxmlformats.org/officeDocument/2006/relationships/hyperlink" Target="https://drive.google.com/open?id=15tc3DhzJ374r1OFjJC3yPWFtKgPU15BM" TargetMode="External"/><Relationship Id="rId540" Type="http://schemas.openxmlformats.org/officeDocument/2006/relationships/hyperlink" Target="https://www.linkedin.com/in/mohamed-yosry-2958a6234?utm_source=share&amp;utm_campaign=share_via&amp;utm_content=profile&amp;utm_medium=android_app" TargetMode="External"/><Relationship Id="rId782" Type="http://schemas.openxmlformats.org/officeDocument/2006/relationships/hyperlink" Target="https://www.linkedin.com/in/habiba-ebrahim-47a894305" TargetMode="External"/><Relationship Id="rId536" Type="http://schemas.openxmlformats.org/officeDocument/2006/relationships/hyperlink" Target="http://www.linkedin.com/in/mohammed-mokhtar-26668432b" TargetMode="External"/><Relationship Id="rId778" Type="http://schemas.openxmlformats.org/officeDocument/2006/relationships/hyperlink" Target="https://www.linkedin.com/in/hasnaamarzouk/" TargetMode="External"/><Relationship Id="rId535" Type="http://schemas.openxmlformats.org/officeDocument/2006/relationships/hyperlink" Target="https://drive.google.com/open?id=1adjpHefFXX6b8Ku_at2KJtfvNaK9dbD6" TargetMode="External"/><Relationship Id="rId777" Type="http://schemas.openxmlformats.org/officeDocument/2006/relationships/hyperlink" Target="https://drive.google.com/open?id=1eYCpNgde28vb5A6nG9vPoUxNVXLJXD75" TargetMode="External"/><Relationship Id="rId534" Type="http://schemas.openxmlformats.org/officeDocument/2006/relationships/hyperlink" Target="http://www.linkedin.com/in/fatima-farouk390" TargetMode="External"/><Relationship Id="rId776" Type="http://schemas.openxmlformats.org/officeDocument/2006/relationships/hyperlink" Target="https://www.linkedin.com/in/moustafaserag98/" TargetMode="External"/><Relationship Id="rId533" Type="http://schemas.openxmlformats.org/officeDocument/2006/relationships/hyperlink" Target="https://drive.google.com/open?id=1HtExhvqHqSklhHdsdRj13W9aopJF4hap" TargetMode="External"/><Relationship Id="rId775" Type="http://schemas.openxmlformats.org/officeDocument/2006/relationships/hyperlink" Target="https://drive.google.com/open?id=16XS0OjrCWrSyZARn2Uik-tHpzdbVS5hn" TargetMode="External"/><Relationship Id="rId539" Type="http://schemas.openxmlformats.org/officeDocument/2006/relationships/hyperlink" Target="https://drive.google.com/open?id=1iKy6WBqRZeiFirxiD_UGZv0_TbFd-2la" TargetMode="External"/><Relationship Id="rId538" Type="http://schemas.openxmlformats.org/officeDocument/2006/relationships/hyperlink" Target="http://www.linkedin.com/in/mohammed-01-salah" TargetMode="External"/><Relationship Id="rId537" Type="http://schemas.openxmlformats.org/officeDocument/2006/relationships/hyperlink" Target="https://drive.google.com/open?id=1Aj__zLkhyDTRBYAAmsV6cRaGupQ-zyj2" TargetMode="External"/><Relationship Id="rId779" Type="http://schemas.openxmlformats.org/officeDocument/2006/relationships/hyperlink" Target="https://drive.google.com/open?id=1z0p4qalqoPZHEf1rHscJKb4C-07hucwE" TargetMode="External"/><Relationship Id="rId770" Type="http://schemas.openxmlformats.org/officeDocument/2006/relationships/hyperlink" Target="https://www.linkedin.com/in/mahmoud-elbahloul-858429368?utm_source=share&amp;utm_campaign=share_via&amp;utm_content=profile&amp;utm_medium=ios_app" TargetMode="External"/><Relationship Id="rId532" Type="http://schemas.openxmlformats.org/officeDocument/2006/relationships/hyperlink" Target="https://www.linkedin.com/in/noaman-sami?utm_source=share&amp;utm_campaign=share_via&amp;utm_content=profile&amp;utm_medium=android_app" TargetMode="External"/><Relationship Id="rId774" Type="http://schemas.openxmlformats.org/officeDocument/2006/relationships/hyperlink" Target="https://www.linkedin.com/in/serag-higazy-3ab4641b6?utm_source=share_via&amp;utm_content=profile&amp;utm_medium=member_ios" TargetMode="External"/><Relationship Id="rId531" Type="http://schemas.openxmlformats.org/officeDocument/2006/relationships/hyperlink" Target="https://drive.google.com/open?id=1g4vDuLllorh9EGZpXDBxYgIuogsvso2z" TargetMode="External"/><Relationship Id="rId773" Type="http://schemas.openxmlformats.org/officeDocument/2006/relationships/hyperlink" Target="https://drive.google.com/open?id=10hH3JJTvoC-B1kzqHf3TeKvRogRw43x_" TargetMode="External"/><Relationship Id="rId530" Type="http://schemas.openxmlformats.org/officeDocument/2006/relationships/hyperlink" Target="http://www.linkedin.com/in/abdallah-tarek20" TargetMode="External"/><Relationship Id="rId772" Type="http://schemas.openxmlformats.org/officeDocument/2006/relationships/hyperlink" Target="http://linkedin.com/in/mohamed-yahia-118742280" TargetMode="External"/><Relationship Id="rId771" Type="http://schemas.openxmlformats.org/officeDocument/2006/relationships/hyperlink" Target="https://drive.google.com/open?id=1V7tBIRtqn4JLJXSzwYvPoM4X97ohlNsA" TargetMode="External"/><Relationship Id="rId327" Type="http://schemas.openxmlformats.org/officeDocument/2006/relationships/hyperlink" Target="https://drive.google.com/open?id=1OWBMvtjr1p3OaWFvf5_U6B3CzuqqFhx_" TargetMode="External"/><Relationship Id="rId569" Type="http://schemas.openxmlformats.org/officeDocument/2006/relationships/hyperlink" Target="https://drive.google.com/open?id=18KddziqQBkHHUfUgEXcAMWkV-_AytL_J" TargetMode="External"/><Relationship Id="rId326" Type="http://schemas.openxmlformats.org/officeDocument/2006/relationships/hyperlink" Target="http://www.linkedin.com/in/abdallah-tarek20" TargetMode="External"/><Relationship Id="rId568" Type="http://schemas.openxmlformats.org/officeDocument/2006/relationships/hyperlink" Target="https://www.linkedin.com/in/emily-wael-92888924a?utm_source=share&amp;utm_campaign=share_via&amp;utm_content=profile&amp;utm_medium=android_app" TargetMode="External"/><Relationship Id="rId325" Type="http://schemas.openxmlformats.org/officeDocument/2006/relationships/hyperlink" Target="https://drive.google.com/open?id=1cnMObn1PaDNfzZwLb7CaJlqgKrOT7Zzw" TargetMode="External"/><Relationship Id="rId567" Type="http://schemas.openxmlformats.org/officeDocument/2006/relationships/hyperlink" Target="https://drive.google.com/open?id=1aEQn8kPjNk3UGLtQgqJP7Thbt1aVfY5Y" TargetMode="External"/><Relationship Id="rId324" Type="http://schemas.openxmlformats.org/officeDocument/2006/relationships/hyperlink" Target="http://www.linkedin.com/in/mohammad-al-mukadam" TargetMode="External"/><Relationship Id="rId566" Type="http://schemas.openxmlformats.org/officeDocument/2006/relationships/hyperlink" Target="http://www.linkedin.com/in/omar-senosy-832988246" TargetMode="External"/><Relationship Id="rId329" Type="http://schemas.openxmlformats.org/officeDocument/2006/relationships/hyperlink" Target="https://drive.google.com/open?id=1zT0rWHZS-b1S5JFmwBIS6-oQWDjR4ZUZ" TargetMode="External"/><Relationship Id="rId328" Type="http://schemas.openxmlformats.org/officeDocument/2006/relationships/hyperlink" Target="https://www.linkedin.com/in/mariem-mohamed-336267342?utm_source=share&amp;utm_campaign=share_via&amp;utm_content=profile&amp;utm_medium=ios_app" TargetMode="External"/><Relationship Id="rId561" Type="http://schemas.openxmlformats.org/officeDocument/2006/relationships/hyperlink" Target="https://drive.google.com/open?id=1CADPuvTI55G3noItHumJSElunUiBSmRX" TargetMode="External"/><Relationship Id="rId560" Type="http://schemas.openxmlformats.org/officeDocument/2006/relationships/hyperlink" Target="https://www.linkedin.com/in/kerollos-karam?utm_source=share&amp;utm_campaign=share_via&amp;utm_content=profile&amp;utm_medium=android_app" TargetMode="External"/><Relationship Id="rId323" Type="http://schemas.openxmlformats.org/officeDocument/2006/relationships/hyperlink" Target="https://drive.google.com/open?id=1JcsuNK6yqy-cG1hjI085UpbP_l-cXPDu" TargetMode="External"/><Relationship Id="rId565" Type="http://schemas.openxmlformats.org/officeDocument/2006/relationships/hyperlink" Target="https://drive.google.com/open?id=1tCqRR2Zmn8HaDN2L10u11RwPbOXz-VD8" TargetMode="External"/><Relationship Id="rId322" Type="http://schemas.openxmlformats.org/officeDocument/2006/relationships/hyperlink" Target="https://www.linkedin.com/in/menna-elsayed-859b7628a?utm_source=share_via&amp;utm_content=profile&amp;utm_medium=member_android" TargetMode="External"/><Relationship Id="rId564" Type="http://schemas.openxmlformats.org/officeDocument/2006/relationships/hyperlink" Target="https://www.linkedin.com/in/aya-eid-3824312a2/" TargetMode="External"/><Relationship Id="rId321" Type="http://schemas.openxmlformats.org/officeDocument/2006/relationships/hyperlink" Target="https://drive.google.com/open?id=1lU8VY_bu0834AWVZZzWcqZwPztDSbVfx" TargetMode="External"/><Relationship Id="rId563" Type="http://schemas.openxmlformats.org/officeDocument/2006/relationships/hyperlink" Target="https://drive.google.com/open?id=1Aj5uLcfW09MpCMD-ftWhz3awLvQ3E21Y" TargetMode="External"/><Relationship Id="rId320" Type="http://schemas.openxmlformats.org/officeDocument/2006/relationships/hyperlink" Target="https://www.linkedin.com/in/esmael-saleh/" TargetMode="External"/><Relationship Id="rId562" Type="http://schemas.openxmlformats.org/officeDocument/2006/relationships/hyperlink" Target="https://www.linkedin.com/in/amr-hussein-8b5aa9227" TargetMode="External"/><Relationship Id="rId316" Type="http://schemas.openxmlformats.org/officeDocument/2006/relationships/hyperlink" Target="https://www.linkedin.com/in/mahmoud-al-ashry" TargetMode="External"/><Relationship Id="rId558" Type="http://schemas.openxmlformats.org/officeDocument/2006/relationships/hyperlink" Target="http://www.linkedin.com/in/laila-mohammad-b1b1b7261" TargetMode="External"/><Relationship Id="rId315" Type="http://schemas.openxmlformats.org/officeDocument/2006/relationships/hyperlink" Target="https://drive.google.com/open?id=101n71PQfEMmSt1mGVN_MQkMr8lsrcCIe" TargetMode="External"/><Relationship Id="rId557" Type="http://schemas.openxmlformats.org/officeDocument/2006/relationships/hyperlink" Target="https://drive.google.com/open?id=1ppk_4Ccq_PBCEooy_uTe2Y-9NCawTb04" TargetMode="External"/><Relationship Id="rId799" Type="http://schemas.openxmlformats.org/officeDocument/2006/relationships/hyperlink" Target="https://drive.google.com/open?id=1sq532oNjGR21XaRB1zlrnx8YWIUP7JYu" TargetMode="External"/><Relationship Id="rId314" Type="http://schemas.openxmlformats.org/officeDocument/2006/relationships/hyperlink" Target="https://www.linkedin.com/in/alaa-eldwansy-71aa9a356?utm_source=share&amp;utm_campaign=share_via&amp;utm_content=profile&amp;utm_medium=ios_app" TargetMode="External"/><Relationship Id="rId556" Type="http://schemas.openxmlformats.org/officeDocument/2006/relationships/hyperlink" Target="http://www.linkedin.com/in/bassim-nabil-53b57b328" TargetMode="External"/><Relationship Id="rId798" Type="http://schemas.openxmlformats.org/officeDocument/2006/relationships/hyperlink" Target="https://www.linkedin.com/in/yasser-mogahed-502b96349?utm_source=share_via&amp;utm_content=profile&amp;utm_medium=member_android" TargetMode="External"/><Relationship Id="rId313" Type="http://schemas.openxmlformats.org/officeDocument/2006/relationships/hyperlink" Target="https://drive.google.com/open?id=1EdB11Nv6vxnjJL3NRL2nIL2-z4I57Rxa" TargetMode="External"/><Relationship Id="rId555" Type="http://schemas.openxmlformats.org/officeDocument/2006/relationships/hyperlink" Target="https://drive.google.com/open?id=1s9_MPQJSatWeFM4l543kmhmHgPdKzEZs" TargetMode="External"/><Relationship Id="rId797" Type="http://schemas.openxmlformats.org/officeDocument/2006/relationships/hyperlink" Target="https://drive.google.com/open?id=17rvhtlJznNAHIuOpSi_BemFbW0qIf4l5" TargetMode="External"/><Relationship Id="rId319" Type="http://schemas.openxmlformats.org/officeDocument/2006/relationships/hyperlink" Target="https://drive.google.com/open?id=14uQ3e6Acrh1kwRxvGL-e5vL1P1UQNrO_" TargetMode="External"/><Relationship Id="rId318" Type="http://schemas.openxmlformats.org/officeDocument/2006/relationships/hyperlink" Target="https://www.linkedin.com/in/husam-ahmed-b45714290/" TargetMode="External"/><Relationship Id="rId317" Type="http://schemas.openxmlformats.org/officeDocument/2006/relationships/hyperlink" Target="https://drive.google.com/open?id=1k35AVGSB4BV1WakSkhUGO-86aBn6tz7t" TargetMode="External"/><Relationship Id="rId559" Type="http://schemas.openxmlformats.org/officeDocument/2006/relationships/hyperlink" Target="https://drive.google.com/open?id=1n9TD_iOa4Ok28tTH-ulwX9_2quiOsk3n" TargetMode="External"/><Relationship Id="rId550" Type="http://schemas.openxmlformats.org/officeDocument/2006/relationships/hyperlink" Target="https://www.linkedin.com/in/hager-abass-2b6756134?utm_source=share&amp;utm_campaign=share_via&amp;utm_content=profile&amp;utm_medium=android_app" TargetMode="External"/><Relationship Id="rId792" Type="http://schemas.openxmlformats.org/officeDocument/2006/relationships/hyperlink" Target="https://www.linkedin.com/in/ahmed-osama-ab4949375?utm_source=share&amp;utm_campaign=share_via&amp;utm_content=profile&amp;utm_medium=android_app" TargetMode="External"/><Relationship Id="rId791" Type="http://schemas.openxmlformats.org/officeDocument/2006/relationships/hyperlink" Target="https://drive.google.com/open?id=1Z_5RRuAhC6e1EtqXDRmwLTnZWLJ8T6ik" TargetMode="External"/><Relationship Id="rId790" Type="http://schemas.openxmlformats.org/officeDocument/2006/relationships/hyperlink" Target="http://www.linkedin.com/in/mariam-mostafa-23b72a2b5" TargetMode="External"/><Relationship Id="rId312" Type="http://schemas.openxmlformats.org/officeDocument/2006/relationships/hyperlink" Target="https://www.linkedin.com/in/omnia-liela-00348336b" TargetMode="External"/><Relationship Id="rId554" Type="http://schemas.openxmlformats.org/officeDocument/2006/relationships/hyperlink" Target="https://www.linkedin.com/in/ahmed-zayed-54b39b211/" TargetMode="External"/><Relationship Id="rId796" Type="http://schemas.openxmlformats.org/officeDocument/2006/relationships/hyperlink" Target="https://www.linkedin.com/in/mohamed-ekramy-el-sherbiny?utm_source=share_via&amp;utm_content=profile&amp;utm_medium=member_ios" TargetMode="External"/><Relationship Id="rId311" Type="http://schemas.openxmlformats.org/officeDocument/2006/relationships/hyperlink" Target="https://drive.google.com/open?id=1dzEts3ZYA57zxT1m8cLplEU4WwdSWzU6" TargetMode="External"/><Relationship Id="rId553" Type="http://schemas.openxmlformats.org/officeDocument/2006/relationships/hyperlink" Target="https://drive.google.com/open?id=1b-bTnyu61aHNhDQbt7imtgwYhI9M09rt" TargetMode="External"/><Relationship Id="rId795" Type="http://schemas.openxmlformats.org/officeDocument/2006/relationships/hyperlink" Target="https://drive.google.com/open?id=1FIJCeShA5LrObAJHVRTeAAYBqiLf8Uuc" TargetMode="External"/><Relationship Id="rId310" Type="http://schemas.openxmlformats.org/officeDocument/2006/relationships/hyperlink" Target="https://www.linkedin.com/in/mohamed-walid-960258357?utm_source=share&amp;utm_campaign=share_via&amp;utm_content=profile&amp;utm_medium=android_app" TargetMode="External"/><Relationship Id="rId552" Type="http://schemas.openxmlformats.org/officeDocument/2006/relationships/hyperlink" Target="https://www.linkedin.com/in/youssef-ramadan-yr-b120483a1?utm_source=share&amp;utm_campaign=share_via&amp;utm_content=profile&amp;utm_medium=android_app" TargetMode="External"/><Relationship Id="rId794" Type="http://schemas.openxmlformats.org/officeDocument/2006/relationships/hyperlink" Target="https://www.linkedin.com/in/shahd-ragab-574197263?utm_source=share&amp;utm_campaign=share_via&amp;utm_content=profile&amp;utm_medium=android_app" TargetMode="External"/><Relationship Id="rId551" Type="http://schemas.openxmlformats.org/officeDocument/2006/relationships/hyperlink" Target="https://drive.google.com/open?id=1Ay-Naqq3M1M71DGbWot1gp5_g0vZ_QJm" TargetMode="External"/><Relationship Id="rId793" Type="http://schemas.openxmlformats.org/officeDocument/2006/relationships/hyperlink" Target="https://drive.google.com/open?id=1rEDapgB5NUht6FPQZpzg3WeVNgMqKODe" TargetMode="External"/><Relationship Id="rId297" Type="http://schemas.openxmlformats.org/officeDocument/2006/relationships/hyperlink" Target="https://drive.google.com/open?id=1koq8csweET1sgS_rY2lgaB9VRnV2O_Ws" TargetMode="External"/><Relationship Id="rId296" Type="http://schemas.openxmlformats.org/officeDocument/2006/relationships/hyperlink" Target="https://www.linkedin.com/in/omar-suliman-54057621a?utm_source=share&amp;utm_campaign=share_via&amp;utm_content=profile&amp;utm_medium=android_app" TargetMode="External"/><Relationship Id="rId295" Type="http://schemas.openxmlformats.org/officeDocument/2006/relationships/hyperlink" Target="https://drive.google.com/open?id=1Sp9ZfUnPrLwtsomY80ZYixj2CYHjDMqx" TargetMode="External"/><Relationship Id="rId294" Type="http://schemas.openxmlformats.org/officeDocument/2006/relationships/hyperlink" Target="https://www.linkedin.com/in/menna-amr-61583b2b6?utm_source=share&amp;utm_campaign=share_via&amp;utm_content=profile&amp;utm_medium=ios_app" TargetMode="External"/><Relationship Id="rId299" Type="http://schemas.openxmlformats.org/officeDocument/2006/relationships/hyperlink" Target="https://drive.google.com/open?id=1arVIpwLkrr07DoON7r9X1QQTVURtjDvU" TargetMode="External"/><Relationship Id="rId298" Type="http://schemas.openxmlformats.org/officeDocument/2006/relationships/hyperlink" Target="https://www.linkedin.com/in/basmala-azab-931a56314/" TargetMode="External"/><Relationship Id="rId271" Type="http://schemas.openxmlformats.org/officeDocument/2006/relationships/hyperlink" Target="http://www.linkedin.com/in/reem-adel-" TargetMode="External"/><Relationship Id="rId270" Type="http://schemas.openxmlformats.org/officeDocument/2006/relationships/hyperlink" Target="https://drive.google.com/open?id=1HAbOoxeiYRqDeTnzPO9_0YbCVJJqKNr1" TargetMode="External"/><Relationship Id="rId269" Type="http://schemas.openxmlformats.org/officeDocument/2006/relationships/hyperlink" Target="https://www.linkedin.com/in/malak-mohammed-salah-0956192b1?utm_source=share&amp;utm_campaign=share_via&amp;utm_content=profile&amp;utm_medium=android_app" TargetMode="External"/><Relationship Id="rId264" Type="http://schemas.openxmlformats.org/officeDocument/2006/relationships/hyperlink" Target="https://drive.google.com/open?id=1OsNpp1j2Zs8HyTUWsyODJmssvzVZCiuA" TargetMode="External"/><Relationship Id="rId263" Type="http://schemas.openxmlformats.org/officeDocument/2006/relationships/hyperlink" Target="https://www.linkedin.com/in/alaa-shalaby71" TargetMode="External"/><Relationship Id="rId262" Type="http://schemas.openxmlformats.org/officeDocument/2006/relationships/hyperlink" Target="https://drive.google.com/open?id=1Piu0_z9j-XyzmXCo-7ptBO1IID4GD4Sb" TargetMode="External"/><Relationship Id="rId261" Type="http://schemas.openxmlformats.org/officeDocument/2006/relationships/hyperlink" Target="https://drive.google.com/open?id=1HH6m0K8pdWgiSmp7bNvGGvwuK3zEYXqO" TargetMode="External"/><Relationship Id="rId268" Type="http://schemas.openxmlformats.org/officeDocument/2006/relationships/hyperlink" Target="https://drive.google.com/open?id=1zYxHjutbFC2OTt5ermeZq5BYOmCsEy2R" TargetMode="External"/><Relationship Id="rId267" Type="http://schemas.openxmlformats.org/officeDocument/2006/relationships/hyperlink" Target="https://www.linkedin.com/in/nada-matar-825828263" TargetMode="External"/><Relationship Id="rId266" Type="http://schemas.openxmlformats.org/officeDocument/2006/relationships/hyperlink" Target="https://drive.google.com/open?id=1kjHwf5JzogQeUyK3SVINpaT_1KxmW8jw" TargetMode="External"/><Relationship Id="rId265" Type="http://schemas.openxmlformats.org/officeDocument/2006/relationships/hyperlink" Target="http://www.linkedin.com/in/marwan-khalil-049061273" TargetMode="External"/><Relationship Id="rId260" Type="http://schemas.openxmlformats.org/officeDocument/2006/relationships/hyperlink" Target="https://www.linkedin.com/in/mostafasameer00" TargetMode="External"/><Relationship Id="rId259" Type="http://schemas.openxmlformats.org/officeDocument/2006/relationships/hyperlink" Target="https://drive.google.com/open?id=15GyOoPTHkiAfJN1pLz4v6uGKzHrkbHFl" TargetMode="External"/><Relationship Id="rId258" Type="http://schemas.openxmlformats.org/officeDocument/2006/relationships/hyperlink" Target="https://www.linkedin.com/in/ahmed-alnger-a1333a320/" TargetMode="External"/><Relationship Id="rId253" Type="http://schemas.openxmlformats.org/officeDocument/2006/relationships/hyperlink" Target="https://drive.google.com/open?id=1kLW4mi05yjzyeu-GGpmVczWe1c7YgcLY" TargetMode="External"/><Relationship Id="rId495" Type="http://schemas.openxmlformats.org/officeDocument/2006/relationships/hyperlink" Target="https://www.linkedin.com/in/aya-hamdy-28a009267?utm_source=share&amp;utm_campaign=share_via&amp;utm_content=profile&amp;utm_medium=ios_app" TargetMode="External"/><Relationship Id="rId252" Type="http://schemas.openxmlformats.org/officeDocument/2006/relationships/hyperlink" Target="https://www.linkedin.com/in/maisoun-ebrahim-51b7432a5?utm_source=share&amp;utm_campaign=share_via&amp;utm_content=profile&amp;utm_medium=android_app" TargetMode="External"/><Relationship Id="rId494" Type="http://schemas.openxmlformats.org/officeDocument/2006/relationships/hyperlink" Target="https://drive.google.com/open?id=1Arklzs5IhSfzCkqRVdjvY7DILWnLOaA-" TargetMode="External"/><Relationship Id="rId251" Type="http://schemas.openxmlformats.org/officeDocument/2006/relationships/hyperlink" Target="https://drive.google.com/open?id=1yNgSZS76Lxvw8w2qYJMkTFtTpNpcmduN" TargetMode="External"/><Relationship Id="rId493" Type="http://schemas.openxmlformats.org/officeDocument/2006/relationships/hyperlink" Target="https://www.linkedin.com/in/aly-rady-1b6aba329?utm_source=share&amp;utm_campaign=share_via&amp;utm_content=profile&amp;utm_medium=android_app" TargetMode="External"/><Relationship Id="rId250" Type="http://schemas.openxmlformats.org/officeDocument/2006/relationships/hyperlink" Target="https://www.linkedin.com/in/mathew-emad" TargetMode="External"/><Relationship Id="rId492" Type="http://schemas.openxmlformats.org/officeDocument/2006/relationships/hyperlink" Target="https://drive.google.com/open?id=1u5l4OCaxdWHBvAAwKOCrSxeqnMkoRtPs" TargetMode="External"/><Relationship Id="rId257" Type="http://schemas.openxmlformats.org/officeDocument/2006/relationships/hyperlink" Target="https://drive.google.com/open?id=1R0-kLLq3b8VmZOgHYIfePaErPwfFiySZ" TargetMode="External"/><Relationship Id="rId499" Type="http://schemas.openxmlformats.org/officeDocument/2006/relationships/hyperlink" Target="http://www.linkedin.com/in/omar-fares10" TargetMode="External"/><Relationship Id="rId256" Type="http://schemas.openxmlformats.org/officeDocument/2006/relationships/hyperlink" Target="https://www.linkedin.com/in/ahmed-mahran-7a3818326?utm_source=share&amp;utm_campaign=share_via&amp;utm_content=profile&amp;utm_medium=android_app" TargetMode="External"/><Relationship Id="rId498" Type="http://schemas.openxmlformats.org/officeDocument/2006/relationships/hyperlink" Target="https://drive.google.com/open?id=14c9GmWF99dOZnYcUzCIoW1X8X67KBTpH" TargetMode="External"/><Relationship Id="rId255" Type="http://schemas.openxmlformats.org/officeDocument/2006/relationships/hyperlink" Target="https://drive.google.com/open?id=17L5h2KdeHNDFQ3lfX0oKPnB89x83Z4v2" TargetMode="External"/><Relationship Id="rId497" Type="http://schemas.openxmlformats.org/officeDocument/2006/relationships/hyperlink" Target="https://www.linkedin.com/in/zainab-abdo-65948832a?utm_source=share_via&amp;utm_content=profile&amp;utm_medium=member_android" TargetMode="External"/><Relationship Id="rId254" Type="http://schemas.openxmlformats.org/officeDocument/2006/relationships/hyperlink" Target="https://www.linkedin.com/in/amira-abd-el-rahman-229a90372" TargetMode="External"/><Relationship Id="rId496" Type="http://schemas.openxmlformats.org/officeDocument/2006/relationships/hyperlink" Target="https://drive.google.com/open?id=1y-GLYUcSkcFgCgGB0KxFIWHhIK532B0N" TargetMode="External"/><Relationship Id="rId293" Type="http://schemas.openxmlformats.org/officeDocument/2006/relationships/hyperlink" Target="https://drive.google.com/open?id=1bylBmQsqstz34-Y-M6-iqGG3JZJGgcPn" TargetMode="External"/><Relationship Id="rId292" Type="http://schemas.openxmlformats.org/officeDocument/2006/relationships/hyperlink" Target="https://www.linkedin.com/in/menna-amr-61583b2b6?utm_source=share&amp;utm_campaign=share_via&amp;utm_content=profile&amp;utm_medium=ios_app" TargetMode="External"/><Relationship Id="rId291" Type="http://schemas.openxmlformats.org/officeDocument/2006/relationships/hyperlink" Target="https://drive.google.com/open?id=1Y5h80HDsmIAPcX5ASA4XBfCxr3wu6NIk" TargetMode="External"/><Relationship Id="rId290" Type="http://schemas.openxmlformats.org/officeDocument/2006/relationships/hyperlink" Target="http://www.linkedin.com/in/nada-mostafa-al-komi" TargetMode="External"/><Relationship Id="rId286" Type="http://schemas.openxmlformats.org/officeDocument/2006/relationships/hyperlink" Target="https://www.linkedin.com/in/mahmoud-said-9bb64420a?utm_source=share&amp;utm_campaign=share_via&amp;utm_content=profile&amp;utm_medium=android_app" TargetMode="External"/><Relationship Id="rId285" Type="http://schemas.openxmlformats.org/officeDocument/2006/relationships/hyperlink" Target="https://drive.google.com/open?id=1b5Yf_IFf8F-GVQaKWxeVWoYO5tU-Dx3r" TargetMode="External"/><Relationship Id="rId284" Type="http://schemas.openxmlformats.org/officeDocument/2006/relationships/hyperlink" Target="https://www.linkedin.com/in/mohamed-al-sherif-91a8bb222" TargetMode="External"/><Relationship Id="rId283" Type="http://schemas.openxmlformats.org/officeDocument/2006/relationships/hyperlink" Target="https://drive.google.com/open?id=1z3dVizHSzSnmLf2skNUq-_3CyQEXPcDW" TargetMode="External"/><Relationship Id="rId289" Type="http://schemas.openxmlformats.org/officeDocument/2006/relationships/hyperlink" Target="https://drive.google.com/open?id=1QZWbzYKfp83kPEMxN8xKpyw1xiPVc2a1" TargetMode="External"/><Relationship Id="rId288" Type="http://schemas.openxmlformats.org/officeDocument/2006/relationships/hyperlink" Target="https://www.linkedin.com/in/ahmed-allam-1394b1275?utm_source=share&amp;utm_campaign=share_via&amp;utm_content=profile&amp;utm_medium=android_app" TargetMode="External"/><Relationship Id="rId287" Type="http://schemas.openxmlformats.org/officeDocument/2006/relationships/hyperlink" Target="https://drive.google.com/open?id=1iHgeD8dJnZlJbNFhpStSyDmVwgppTRYv" TargetMode="External"/><Relationship Id="rId282" Type="http://schemas.openxmlformats.org/officeDocument/2006/relationships/hyperlink" Target="https://drive.google.com/open?id=1jRlQK5gDNuE9J-n1bVGEFKszhq34b1uU" TargetMode="External"/><Relationship Id="rId281" Type="http://schemas.openxmlformats.org/officeDocument/2006/relationships/hyperlink" Target="https://www.linkedin.com/in/muhamedbadran" TargetMode="External"/><Relationship Id="rId280" Type="http://schemas.openxmlformats.org/officeDocument/2006/relationships/hyperlink" Target="https://drive.google.com/open?id=1q0lvUP8chvRyRAT-erXIapYwNQ_eC_gA" TargetMode="External"/><Relationship Id="rId275" Type="http://schemas.openxmlformats.org/officeDocument/2006/relationships/hyperlink" Target="https://www.linkedin.com/in/hager-ayman72?utm_source=share&amp;utm_campaign=share_via&amp;utm_content=profile&amp;utm_medium=android_app" TargetMode="External"/><Relationship Id="rId274" Type="http://schemas.openxmlformats.org/officeDocument/2006/relationships/hyperlink" Target="https://drive.google.com/open?id=12BESIYv2mPpzTfbI2mgqPvEtLl6pa_pB" TargetMode="External"/><Relationship Id="rId273" Type="http://schemas.openxmlformats.org/officeDocument/2006/relationships/hyperlink" Target="https://www.linkedin.com/in/rofaida-mohamad-489379346?utm_source=share&amp;utm_campaign=share_via&amp;utm_content=profile&amp;utm_medium=android_app" TargetMode="External"/><Relationship Id="rId272" Type="http://schemas.openxmlformats.org/officeDocument/2006/relationships/hyperlink" Target="https://drive.google.com/open?id=1eEHPgK2mjkqYRvBEGGre2G5SZBJUxSXO" TargetMode="External"/><Relationship Id="rId279" Type="http://schemas.openxmlformats.org/officeDocument/2006/relationships/hyperlink" Target="https://www.linkedin.com/in/nada-tayel-khafagy-54b28a318/" TargetMode="External"/><Relationship Id="rId278" Type="http://schemas.openxmlformats.org/officeDocument/2006/relationships/hyperlink" Target="https://drive.google.com/open?id=1ObPAMzCO1nbfBbkuYjnK_zVCAromx5qf" TargetMode="External"/><Relationship Id="rId277" Type="http://schemas.openxmlformats.org/officeDocument/2006/relationships/hyperlink" Target="http://www.linkedin.com/in/ahmed-saeed-nas1001" TargetMode="External"/><Relationship Id="rId276" Type="http://schemas.openxmlformats.org/officeDocument/2006/relationships/hyperlink" Target="https://drive.google.com/open?id=1ybM_AWHblma21-Kt8PLByK-FTqTs_Bsh" TargetMode="External"/><Relationship Id="rId629" Type="http://schemas.openxmlformats.org/officeDocument/2006/relationships/hyperlink" Target="https://www.linkedin.com/in/rokia-yasser-1a8a4922b" TargetMode="External"/><Relationship Id="rId624" Type="http://schemas.openxmlformats.org/officeDocument/2006/relationships/hyperlink" Target="https://drive.google.com/open?id=1sVQICBq0TOVttKwy2g2kIQVu_SZ1rMUu" TargetMode="External"/><Relationship Id="rId623" Type="http://schemas.openxmlformats.org/officeDocument/2006/relationships/hyperlink" Target="http://linkedin.com/in/sohib-mohammed-b48bb0282" TargetMode="External"/><Relationship Id="rId622" Type="http://schemas.openxmlformats.org/officeDocument/2006/relationships/hyperlink" Target="https://drive.google.com/open?id=1XrszwwpNE1XkJwcLv_aqdHL4Zx-Z1GM0" TargetMode="External"/><Relationship Id="rId621" Type="http://schemas.openxmlformats.org/officeDocument/2006/relationships/hyperlink" Target="https://www.linkedin.com/in/mennatollahfarghaly/" TargetMode="External"/><Relationship Id="rId628" Type="http://schemas.openxmlformats.org/officeDocument/2006/relationships/hyperlink" Target="https://drive.google.com/open?id=127mJJlZx1JfouQAKLjl3RuOp-QM7JeWO" TargetMode="External"/><Relationship Id="rId627" Type="http://schemas.openxmlformats.org/officeDocument/2006/relationships/hyperlink" Target="https://www.linkedin.com/in/nooraldin-basem" TargetMode="External"/><Relationship Id="rId626" Type="http://schemas.openxmlformats.org/officeDocument/2006/relationships/hyperlink" Target="https://drive.google.com/open?id=195ujlLBeZHTtkqrW-Y9OrEvjEkI7zjyq" TargetMode="External"/><Relationship Id="rId625" Type="http://schemas.openxmlformats.org/officeDocument/2006/relationships/hyperlink" Target="https://www.linkedin.com/in/kholoud-mohammed-624a57272?utm_source=share&amp;utm_campaign=share_via&amp;utm_content=profile&amp;utm_medium=android_app" TargetMode="External"/><Relationship Id="rId620" Type="http://schemas.openxmlformats.org/officeDocument/2006/relationships/hyperlink" Target="https://drive.google.com/open?id=17PJcVf4Ckvv8vSspYEjz4v_lUq23sslA" TargetMode="External"/><Relationship Id="rId619" Type="http://schemas.openxmlformats.org/officeDocument/2006/relationships/hyperlink" Target="http://www.linkedin.com/in/mohammed-el-safty-74l" TargetMode="External"/><Relationship Id="rId618" Type="http://schemas.openxmlformats.org/officeDocument/2006/relationships/hyperlink" Target="https://drive.google.com/open?id=1rfQ4KflFQnu2_JnboNiW-6kUXhTbHGJs" TargetMode="External"/><Relationship Id="rId613" Type="http://schemas.openxmlformats.org/officeDocument/2006/relationships/hyperlink" Target="https://www.linkedin.com/in/shahd-waleed-samy-585250363?utm_source=share_via&amp;utm_content=profile&amp;utm_medium=member_android" TargetMode="External"/><Relationship Id="rId612" Type="http://schemas.openxmlformats.org/officeDocument/2006/relationships/hyperlink" Target="https://drive.google.com/open?id=1aGuU4S_BFP1u_oK9duU-_5lBr29hM1ji" TargetMode="External"/><Relationship Id="rId611" Type="http://schemas.openxmlformats.org/officeDocument/2006/relationships/hyperlink" Target="https://linkedin.com/in/mohamed-alshamy" TargetMode="External"/><Relationship Id="rId610" Type="http://schemas.openxmlformats.org/officeDocument/2006/relationships/hyperlink" Target="https://drive.google.com/open?id=16ni-LrjmdijekkZm8ZKXT3rCT4wwC8ux" TargetMode="External"/><Relationship Id="rId617" Type="http://schemas.openxmlformats.org/officeDocument/2006/relationships/hyperlink" Target="https://www.linkedin.com/in/mohamed-saeed-b3bb52222" TargetMode="External"/><Relationship Id="rId616" Type="http://schemas.openxmlformats.org/officeDocument/2006/relationships/hyperlink" Target="https://drive.google.com/open?id=1-_B8OuiqKdU4ZlxcqiUv9UKsuEHJkD7-" TargetMode="External"/><Relationship Id="rId615" Type="http://schemas.openxmlformats.org/officeDocument/2006/relationships/hyperlink" Target="https://www.linkedin.com/in/ahmed-adel-elgendy-13337b202?utm_source=share_via&amp;utm_content=profile&amp;utm_medium=member_android" TargetMode="External"/><Relationship Id="rId614" Type="http://schemas.openxmlformats.org/officeDocument/2006/relationships/hyperlink" Target="https://drive.google.com/open?id=12a8N1S75rbrqeP66QyI-xDEUoT0PnozL" TargetMode="External"/><Relationship Id="rId409" Type="http://schemas.openxmlformats.org/officeDocument/2006/relationships/hyperlink" Target="https://www.linkedin.com/in/seif-galal-02853b2aa?utm_source=share&amp;utm_campaign=share_via&amp;utm_content=profile&amp;utm_medium=android_app" TargetMode="External"/><Relationship Id="rId404" Type="http://schemas.openxmlformats.org/officeDocument/2006/relationships/hyperlink" Target="https://drive.google.com/open?id=1I6-RBLj7eaG4ADSlxhWtPPpLCZEieU4s" TargetMode="External"/><Relationship Id="rId646" Type="http://schemas.openxmlformats.org/officeDocument/2006/relationships/hyperlink" Target="https://drive.google.com/open?id=1ienrL_YIUtLQ4FbpiCWaS56-ynaTfv4H" TargetMode="External"/><Relationship Id="rId403" Type="http://schemas.openxmlformats.org/officeDocument/2006/relationships/hyperlink" Target="https://www.linkedin.com/in/ayat-fakhary?utm_source=share&amp;utm_campaign=share_via&amp;utm_content=profile&amp;utm_medium=android_app" TargetMode="External"/><Relationship Id="rId645" Type="http://schemas.openxmlformats.org/officeDocument/2006/relationships/hyperlink" Target="https://www.linkedin.com/in/eslam-sharoud" TargetMode="External"/><Relationship Id="rId402" Type="http://schemas.openxmlformats.org/officeDocument/2006/relationships/hyperlink" Target="https://drive.google.com/open?id=1R8w7Vd2p3cTQt11fvXXiMOy_3bxG0IHH" TargetMode="External"/><Relationship Id="rId644" Type="http://schemas.openxmlformats.org/officeDocument/2006/relationships/hyperlink" Target="https://drive.google.com/open?id=1tHbGdTx6rQPDktzSRtgnNH7VlcoMTUcG" TargetMode="External"/><Relationship Id="rId401" Type="http://schemas.openxmlformats.org/officeDocument/2006/relationships/hyperlink" Target="https://www.linkedin.com/in/abdallah-mostafa3a?utm_source=share_via&amp;utm_content=profile&amp;utm_medium=member_android" TargetMode="External"/><Relationship Id="rId643" Type="http://schemas.openxmlformats.org/officeDocument/2006/relationships/hyperlink" Target="http://www.linkedin.com/in/mohammed-mokhtar-26668432b" TargetMode="External"/><Relationship Id="rId408" Type="http://schemas.openxmlformats.org/officeDocument/2006/relationships/hyperlink" Target="https://drive.google.com/open?id=1E4illS9j5bp9-IP4ZzrqKu9_-Ks2MFmH" TargetMode="External"/><Relationship Id="rId407" Type="http://schemas.openxmlformats.org/officeDocument/2006/relationships/hyperlink" Target="https://www.linkedin.com/in/karamyahia" TargetMode="External"/><Relationship Id="rId649" Type="http://schemas.openxmlformats.org/officeDocument/2006/relationships/hyperlink" Target="https://www.linkedin.com/in/mohamed-abdeltawwab-badr-b4a18426b?utm_source=share&amp;utm_campaign=share_via&amp;utm_content=profile&amp;utm_medium=ios_app" TargetMode="External"/><Relationship Id="rId406" Type="http://schemas.openxmlformats.org/officeDocument/2006/relationships/hyperlink" Target="https://drive.google.com/open?id=1wzX9wrHaLjPaMJxHUilCXnDVif9lQ5Hr" TargetMode="External"/><Relationship Id="rId648" Type="http://schemas.openxmlformats.org/officeDocument/2006/relationships/hyperlink" Target="https://drive.google.com/open?id=1vKiML-wTt8rfRSehINW0thFPxcjSO4QI" TargetMode="External"/><Relationship Id="rId405" Type="http://schemas.openxmlformats.org/officeDocument/2006/relationships/hyperlink" Target="http://www.linkedin.com/in/ahmed-1eid/" TargetMode="External"/><Relationship Id="rId647" Type="http://schemas.openxmlformats.org/officeDocument/2006/relationships/hyperlink" Target="https://www.linkedin.com/in/heba-sayed-12a9b6324?utm_source=share&amp;utm_campaign=share_via&amp;utm_content=profile&amp;utm_medium=ios_app" TargetMode="External"/><Relationship Id="rId400" Type="http://schemas.openxmlformats.org/officeDocument/2006/relationships/hyperlink" Target="https://drive.google.com/open?id=1cDQ9OyQ9ExrDnXv6hsYGGmDcGAIgHkje" TargetMode="External"/><Relationship Id="rId642" Type="http://schemas.openxmlformats.org/officeDocument/2006/relationships/hyperlink" Target="https://drive.google.com/open?id=10zPenIXAl6Ev_UGwCNAqDS96p3pQk2k6" TargetMode="External"/><Relationship Id="rId641" Type="http://schemas.openxmlformats.org/officeDocument/2006/relationships/hyperlink" Target="https://www.linkedin.com/in/morad-elnahla?utm_source=share&amp;utm_campaign=share_via&amp;utm_content=profile&amp;utm_medium=android_app" TargetMode="External"/><Relationship Id="rId640" Type="http://schemas.openxmlformats.org/officeDocument/2006/relationships/hyperlink" Target="https://drive.google.com/open?id=1L-1hWYHH2aAFzB2keRDxIo3dL9m80B1A" TargetMode="External"/><Relationship Id="rId635" Type="http://schemas.openxmlformats.org/officeDocument/2006/relationships/hyperlink" Target="https://www.linkedin.com/in/abdallrahman-omar-1701b4360?utm_source=share_via&amp;utm_content=profile&amp;utm_medium=member_ios" TargetMode="External"/><Relationship Id="rId634" Type="http://schemas.openxmlformats.org/officeDocument/2006/relationships/hyperlink" Target="https://drive.google.com/open?id=1xi9aVXU046xpo2BViadEx355gBvvHub9" TargetMode="External"/><Relationship Id="rId633" Type="http://schemas.openxmlformats.org/officeDocument/2006/relationships/hyperlink" Target="https://www.linkedin.com/in/omar-yasser-software-engineer?utm_source=share&amp;utm_campaign=share_via&amp;utm_content=profile&amp;utm_medium=android_app" TargetMode="External"/><Relationship Id="rId632" Type="http://schemas.openxmlformats.org/officeDocument/2006/relationships/hyperlink" Target="https://drive.google.com/open?id=1aINfvnin6nAuXfxXmp_lP3IP8hyTCI73" TargetMode="External"/><Relationship Id="rId639" Type="http://schemas.openxmlformats.org/officeDocument/2006/relationships/hyperlink" Target="https://www.linkedin.com/in/eyad-mohamed-667a3131b?utm_source=share&amp;utm_campaign=share_via&amp;utm_content=profile&amp;utm_medium=ios_app" TargetMode="External"/><Relationship Id="rId638" Type="http://schemas.openxmlformats.org/officeDocument/2006/relationships/hyperlink" Target="https://drive.google.com/open?id=1-p8PZR3OxhQCeJwKyz3jOah4oCBtXZTC" TargetMode="External"/><Relationship Id="rId637" Type="http://schemas.openxmlformats.org/officeDocument/2006/relationships/hyperlink" Target="https://www.linkedin.com/posts/manar-mohamed-65021a284_im-excited-to-share-that-i-had-the-opportunity-activity-7349173102645248004-oLWC?utm_source=share&amp;utm_medium=member_ios&amp;rcm=ACoAAEUWcBwBedm2NKfvykdUXkl0zIFWM11GvZc" TargetMode="External"/><Relationship Id="rId636" Type="http://schemas.openxmlformats.org/officeDocument/2006/relationships/hyperlink" Target="https://drive.google.com/open?id=1GTjeD8DAoYnUVKS7A_1Q3XIUBBGRdn7z" TargetMode="External"/><Relationship Id="rId631" Type="http://schemas.openxmlformats.org/officeDocument/2006/relationships/hyperlink" Target="https://www.linkedin.com/in/nour-mohammed-06341a204?utm_source=share&amp;utm_campaign=share_via&amp;utm_content=profile&amp;utm_medium=android_app" TargetMode="External"/><Relationship Id="rId630" Type="http://schemas.openxmlformats.org/officeDocument/2006/relationships/hyperlink" Target="https://drive.google.com/open?id=10_913x6GT0pIKF8rKT0o6Rh1Mp1mM8na" TargetMode="External"/><Relationship Id="rId818" Type="http://schemas.openxmlformats.org/officeDocument/2006/relationships/table" Target="../tables/table1.xml"/><Relationship Id="rId816" Type="http://schemas.openxmlformats.org/officeDocument/2006/relationships/drawing" Target="../drawings/drawing1.xml"/><Relationship Id="rId811" Type="http://schemas.openxmlformats.org/officeDocument/2006/relationships/hyperlink" Target="https://drive.google.com/open?id=14KwYu3eZFsBu0HqvLfpi3Ob4A-q22Owy" TargetMode="External"/><Relationship Id="rId810" Type="http://schemas.openxmlformats.org/officeDocument/2006/relationships/hyperlink" Target="https://www.linkedin.com/in/tarek-amr737?utm_source=share_via&amp;utm_content=profile&amp;utm_medium=member_ios" TargetMode="External"/><Relationship Id="rId815" Type="http://schemas.openxmlformats.org/officeDocument/2006/relationships/hyperlink" Target="https://drive.google.com/open?id=1WIOGEnQRli6z2XzAtMr8Z6VPfSdq4Ipl" TargetMode="External"/><Relationship Id="rId814" Type="http://schemas.openxmlformats.org/officeDocument/2006/relationships/hyperlink" Target="http://linkedin.com/in/rama-abdelgadir" TargetMode="External"/><Relationship Id="rId813" Type="http://schemas.openxmlformats.org/officeDocument/2006/relationships/hyperlink" Target="https://drive.google.com/open?id=1eMIahbsGNFwhrikPxoegORXhm6F82A-_" TargetMode="External"/><Relationship Id="rId812" Type="http://schemas.openxmlformats.org/officeDocument/2006/relationships/hyperlink" Target="https://www.linkedin.com/in/mohamed-amir-5572722b0?utm_source=share_via&amp;utm_content=profile&amp;utm_medium=member_android" TargetMode="External"/><Relationship Id="rId609" Type="http://schemas.openxmlformats.org/officeDocument/2006/relationships/hyperlink" Target="https://drive.google.com/open?id=1u-TQQptDaJzMhPC-Qy-s-D2z0kLCNcP2" TargetMode="External"/><Relationship Id="rId608" Type="http://schemas.openxmlformats.org/officeDocument/2006/relationships/hyperlink" Target="https://www.linkedin.com/in/nada-shaker-9b902531a?utm_source=share&amp;utm_campaign=share_via&amp;utm_content=profile&amp;utm_medium=android_app" TargetMode="External"/><Relationship Id="rId607" Type="http://schemas.openxmlformats.org/officeDocument/2006/relationships/hyperlink" Target="https://drive.google.com/open?id=1QdqmHueKVLiKpyszpeHM2eUPzuuG1mji" TargetMode="External"/><Relationship Id="rId602" Type="http://schemas.openxmlformats.org/officeDocument/2006/relationships/hyperlink" Target="https://www.linkedin.com/in/mahmoud-khalid-alkodousy" TargetMode="External"/><Relationship Id="rId601" Type="http://schemas.openxmlformats.org/officeDocument/2006/relationships/hyperlink" Target="https://drive.google.com/open?id=1wbmQYozqjyZKpbCY8z3pKYfdZWvrtvL6" TargetMode="External"/><Relationship Id="rId600" Type="http://schemas.openxmlformats.org/officeDocument/2006/relationships/hyperlink" Target="https://www.linkedin.com/in/ali-sayed-ai?utm_source=share&amp;utm_campaign=share_via&amp;utm_content=profile&amp;utm_medium=ios_app" TargetMode="External"/><Relationship Id="rId606" Type="http://schemas.openxmlformats.org/officeDocument/2006/relationships/hyperlink" Target="https://www.linkedin.com/in/doaa-karem-896b02212?utm_source=share&amp;utm_campaign=share_via&amp;utm_content=profile&amp;utm_medium=android_app" TargetMode="External"/><Relationship Id="rId605" Type="http://schemas.openxmlformats.org/officeDocument/2006/relationships/hyperlink" Target="https://drive.google.com/open?id=1e-3YXq_xh1k6KJJeQ4KaeBB-Nc85pcJA" TargetMode="External"/><Relationship Id="rId604" Type="http://schemas.openxmlformats.org/officeDocument/2006/relationships/hyperlink" Target="http://linkedin.com/in/sahar-amr-6a3073227" TargetMode="External"/><Relationship Id="rId603" Type="http://schemas.openxmlformats.org/officeDocument/2006/relationships/hyperlink" Target="https://drive.google.com/open?id=1P-o_wJeNiyTiSROxZs85SpLfLbYjLFV3" TargetMode="External"/><Relationship Id="rId228" Type="http://schemas.openxmlformats.org/officeDocument/2006/relationships/hyperlink" Target="https://drive.google.com/open?id=1yQ3I5E7g7DQH1m1qVExPnzLbdINc3G2F" TargetMode="External"/><Relationship Id="rId227" Type="http://schemas.openxmlformats.org/officeDocument/2006/relationships/hyperlink" Target="https://www.linkedin.com/in/mohamed-abdelzaher1?utm_source=share&amp;utm_campaign=share_via&amp;utm_content=profile&amp;utm_medium=ios_app" TargetMode="External"/><Relationship Id="rId469" Type="http://schemas.openxmlformats.org/officeDocument/2006/relationships/hyperlink" Target="https://drive.google.com/open?id=1yNjEOFLxMOenX2jtex4z8TvOJPhn7kSo" TargetMode="External"/><Relationship Id="rId226" Type="http://schemas.openxmlformats.org/officeDocument/2006/relationships/hyperlink" Target="https://drive.google.com/open?id=15NbpR3k-FqB2av1Evys3jYna834TNMtz" TargetMode="External"/><Relationship Id="rId468" Type="http://schemas.openxmlformats.org/officeDocument/2006/relationships/hyperlink" Target="http://linkedin.com/in/mahmoud-hussein-153200247" TargetMode="External"/><Relationship Id="rId225" Type="http://schemas.openxmlformats.org/officeDocument/2006/relationships/hyperlink" Target="https://www.linkedin.com/in/huda-tareq-38018b25a/" TargetMode="External"/><Relationship Id="rId467" Type="http://schemas.openxmlformats.org/officeDocument/2006/relationships/hyperlink" Target="https://drive.google.com/open?id=18L0uWuZJGVb6EfvviaicK2tOZvJay4sp" TargetMode="External"/><Relationship Id="rId229" Type="http://schemas.openxmlformats.org/officeDocument/2006/relationships/hyperlink" Target="https://www.linkedin.com/in/ali-keshar-5986a5218?utm_source=share&amp;utm_campaign=share_via&amp;utm_content=profile&amp;utm_medium=android_app" TargetMode="External"/><Relationship Id="rId220" Type="http://schemas.openxmlformats.org/officeDocument/2006/relationships/hyperlink" Target="https://drive.google.com/open?id=1QZX65LngZRFC6ddfVtA3E8p34cSidzib" TargetMode="External"/><Relationship Id="rId462" Type="http://schemas.openxmlformats.org/officeDocument/2006/relationships/hyperlink" Target="https://www.linkedin.com/in/hady-omar-51b832381?utm_source=share&amp;utm_campaign=share_via&amp;utm_content=profile&amp;utm_medium=android_app" TargetMode="External"/><Relationship Id="rId461" Type="http://schemas.openxmlformats.org/officeDocument/2006/relationships/hyperlink" Target="https://drive.google.com/open?id=1kkNKq7YVIwxKyN3g9jpStCA_V5zMabek" TargetMode="External"/><Relationship Id="rId460" Type="http://schemas.openxmlformats.org/officeDocument/2006/relationships/hyperlink" Target="https://drive.google.com/open?id=1rhIRYxeAm5MG417nlVO0fg50I_SD8fNs" TargetMode="External"/><Relationship Id="rId224" Type="http://schemas.openxmlformats.org/officeDocument/2006/relationships/hyperlink" Target="https://drive.google.com/open?id=1Zil6KcpfCuekc0X3hgzjTbhxeEWhHaqv" TargetMode="External"/><Relationship Id="rId466" Type="http://schemas.openxmlformats.org/officeDocument/2006/relationships/hyperlink" Target="https://www.linkedin.com/in/adham-ashraf-01aa8432a/" TargetMode="External"/><Relationship Id="rId223" Type="http://schemas.openxmlformats.org/officeDocument/2006/relationships/hyperlink" Target="https://linkedin.com/in/ahmed-zaky-0a7692132/" TargetMode="External"/><Relationship Id="rId465" Type="http://schemas.openxmlformats.org/officeDocument/2006/relationships/hyperlink" Target="https://drive.google.com/open?id=1PApLOdNTiSEwrhtduLvdTRbUb8rICKDE" TargetMode="External"/><Relationship Id="rId222" Type="http://schemas.openxmlformats.org/officeDocument/2006/relationships/hyperlink" Target="https://drive.google.com/open?id=1DjsmcA6cjpkUSjpbigDnHqr1Y8yKJAEw" TargetMode="External"/><Relationship Id="rId464" Type="http://schemas.openxmlformats.org/officeDocument/2006/relationships/hyperlink" Target="https://www.linkedin.com/in/mohamed-younis-452852283" TargetMode="External"/><Relationship Id="rId221" Type="http://schemas.openxmlformats.org/officeDocument/2006/relationships/hyperlink" Target="https://www.linkedin.com/in/abdelrahman-sherif-203b66198" TargetMode="External"/><Relationship Id="rId463" Type="http://schemas.openxmlformats.org/officeDocument/2006/relationships/hyperlink" Target="https://drive.google.com/open?id=1c4VBdhjIQkMEVZwo4wg_4Ns3BZxRlpNF" TargetMode="External"/><Relationship Id="rId217" Type="http://schemas.openxmlformats.org/officeDocument/2006/relationships/hyperlink" Target="https://www.linkedin.com/in/yosef-ahmed-a84ba52ba?utm_source=share&amp;utm_campaign=share_via&amp;utm_content=profile&amp;utm_medium=android_app" TargetMode="External"/><Relationship Id="rId459" Type="http://schemas.openxmlformats.org/officeDocument/2006/relationships/hyperlink" Target="https://www.linkedin.com/in/yousef-mohamed-ss" TargetMode="External"/><Relationship Id="rId216" Type="http://schemas.openxmlformats.org/officeDocument/2006/relationships/hyperlink" Target="https://drive.google.com/open?id=1ggNMCYlzsqqLqoX2id5YZYXj7i1A161j" TargetMode="External"/><Relationship Id="rId458" Type="http://schemas.openxmlformats.org/officeDocument/2006/relationships/hyperlink" Target="https://drive.google.com/open?id=12hGwpJwjFNDXHkqBc32dY33R0GrX9Ubh" TargetMode="External"/><Relationship Id="rId215" Type="http://schemas.openxmlformats.org/officeDocument/2006/relationships/hyperlink" Target="http://linkedin.com/in/mina-data-ai" TargetMode="External"/><Relationship Id="rId457" Type="http://schemas.openxmlformats.org/officeDocument/2006/relationships/hyperlink" Target="https://www.linkedin.com/in/ahmed-nader-gouda-b38b92184?utm_source=share_via&amp;utm_content=profile&amp;utm_medium=member_android" TargetMode="External"/><Relationship Id="rId699" Type="http://schemas.openxmlformats.org/officeDocument/2006/relationships/hyperlink" Target="https://drive.google.com/open?id=1GjPzMEODUba9SCuJkoP5n_A9QkQOJEkX" TargetMode="External"/><Relationship Id="rId214" Type="http://schemas.openxmlformats.org/officeDocument/2006/relationships/hyperlink" Target="https://drive.google.com/open?id=1c_ZGyna4ea73_WkFj8KcybxVE2k46ofO" TargetMode="External"/><Relationship Id="rId456" Type="http://schemas.openxmlformats.org/officeDocument/2006/relationships/hyperlink" Target="https://drive.google.com/open?id=13jygAjRA9xQwicv0ywIx5HmOqwVq7d0R" TargetMode="External"/><Relationship Id="rId698" Type="http://schemas.openxmlformats.org/officeDocument/2006/relationships/hyperlink" Target="https://www.linkedin.com/in/alaa-soudy-65378a288" TargetMode="External"/><Relationship Id="rId219" Type="http://schemas.openxmlformats.org/officeDocument/2006/relationships/hyperlink" Target="https://www.linkedin.com/in/tukka-mohamed-b042a5312?utm_source=share_via&amp;utm_content=profile&amp;utm_medium=member_ios" TargetMode="External"/><Relationship Id="rId218" Type="http://schemas.openxmlformats.org/officeDocument/2006/relationships/hyperlink" Target="https://drive.google.com/open?id=1uXtSyV0wXc4uWXbZz7wcJbAl9Gcohalh" TargetMode="External"/><Relationship Id="rId451" Type="http://schemas.openxmlformats.org/officeDocument/2006/relationships/hyperlink" Target="https://www.linkedin.com/in/abdulrahman-khalil-ba64272a3?utm_source=share&amp;utm_campaign=share_via&amp;utm_content=profile&amp;utm_medium=android_app" TargetMode="External"/><Relationship Id="rId693" Type="http://schemas.openxmlformats.org/officeDocument/2006/relationships/hyperlink" Target="https://drive.google.com/open?id=15ZXdkaTOh57PspXrnk6Rsfecdzx3LwiX" TargetMode="External"/><Relationship Id="rId450" Type="http://schemas.openxmlformats.org/officeDocument/2006/relationships/hyperlink" Target="https://drive.google.com/open?id=1BMerT8T5YRls7E__9ODsSAbTtj48Rb4i" TargetMode="External"/><Relationship Id="rId692" Type="http://schemas.openxmlformats.org/officeDocument/2006/relationships/hyperlink" Target="https://www.linkedin.com/in/mina-magdy-data-analyst/" TargetMode="External"/><Relationship Id="rId691" Type="http://schemas.openxmlformats.org/officeDocument/2006/relationships/hyperlink" Target="https://drive.google.com/open?id=1W6TdREkJ6JOQTPX37UKhnXtMrnmOPNFc" TargetMode="External"/><Relationship Id="rId690" Type="http://schemas.openxmlformats.org/officeDocument/2006/relationships/hyperlink" Target="http://www.linkedin.com/in/nariman-eldally-642a51251" TargetMode="External"/><Relationship Id="rId213" Type="http://schemas.openxmlformats.org/officeDocument/2006/relationships/hyperlink" Target="https://www.linkedin.com/in/mostafakamal4" TargetMode="External"/><Relationship Id="rId455" Type="http://schemas.openxmlformats.org/officeDocument/2006/relationships/hyperlink" Target="https://www.linkedin.com/in/menna-gamal624/" TargetMode="External"/><Relationship Id="rId697" Type="http://schemas.openxmlformats.org/officeDocument/2006/relationships/hyperlink" Target="https://drive.google.com/open?id=1rDqrlIvFLiyZoplVCQW2l1ZcWosG53lN" TargetMode="External"/><Relationship Id="rId212" Type="http://schemas.openxmlformats.org/officeDocument/2006/relationships/hyperlink" Target="https://drive.google.com/open?id=1LW7yuT8AnfH-7bK_XXVHBo_1Rz6miEbK" TargetMode="External"/><Relationship Id="rId454" Type="http://schemas.openxmlformats.org/officeDocument/2006/relationships/hyperlink" Target="https://drive.google.com/open?id=1F7M-29pJ3UGHwZI-R5cNVJLe2bBwIKH_" TargetMode="External"/><Relationship Id="rId696" Type="http://schemas.openxmlformats.org/officeDocument/2006/relationships/hyperlink" Target="https://www.linkedin.com/in/mohamed-ragab-8b7aa8240?utm_source=share_via&amp;utm_content=profile&amp;utm_medium=member_android" TargetMode="External"/><Relationship Id="rId211" Type="http://schemas.openxmlformats.org/officeDocument/2006/relationships/hyperlink" Target="https://www.linkedin.com/in/" TargetMode="External"/><Relationship Id="rId453" Type="http://schemas.openxmlformats.org/officeDocument/2006/relationships/hyperlink" Target="https://www.linkedin.com/in/abram-hany-190284283/" TargetMode="External"/><Relationship Id="rId695" Type="http://schemas.openxmlformats.org/officeDocument/2006/relationships/hyperlink" Target="https://drive.google.com/open?id=1YtwNXkdezKb1Pm658dBq0F2iqetDB91g" TargetMode="External"/><Relationship Id="rId210" Type="http://schemas.openxmlformats.org/officeDocument/2006/relationships/hyperlink" Target="https://drive.google.com/open?id=1XWDbFe9BAlDe3Yt3Rcism38n34GZ1Pis" TargetMode="External"/><Relationship Id="rId452" Type="http://schemas.openxmlformats.org/officeDocument/2006/relationships/hyperlink" Target="https://drive.google.com/open?id=1jBvHmxqCc0RWGUvu9JIChhlZxqNrfbp0" TargetMode="External"/><Relationship Id="rId694" Type="http://schemas.openxmlformats.org/officeDocument/2006/relationships/hyperlink" Target="https://www.linkedin.com/in/yassa-nazeer-07373531b/" TargetMode="External"/><Relationship Id="rId491" Type="http://schemas.openxmlformats.org/officeDocument/2006/relationships/hyperlink" Target="https://drive.google.com/open?id=1bWo2OVNRLlNHIQjhp9ccXI4VRvvo-As4" TargetMode="External"/><Relationship Id="rId490" Type="http://schemas.openxmlformats.org/officeDocument/2006/relationships/hyperlink" Target="https://www.linkedin.com/in/sama-elfishawy" TargetMode="External"/><Relationship Id="rId249" Type="http://schemas.openxmlformats.org/officeDocument/2006/relationships/hyperlink" Target="https://drive.google.com/open?id=1dSziAzUuk1oBJ5miCojZPt3vN0h99-4o" TargetMode="External"/><Relationship Id="rId248" Type="http://schemas.openxmlformats.org/officeDocument/2006/relationships/hyperlink" Target="https://www.linkedin.com/in/george-azzat-82991328b?utm_source=share&amp;utm_campaign=share_via&amp;utm_content=profile&amp;utm_medium=android_app" TargetMode="External"/><Relationship Id="rId247" Type="http://schemas.openxmlformats.org/officeDocument/2006/relationships/hyperlink" Target="https://drive.google.com/open?id=1rYB_d85xHV4Ne5sotRmDQmw9sPFRCSLL" TargetMode="External"/><Relationship Id="rId489" Type="http://schemas.openxmlformats.org/officeDocument/2006/relationships/hyperlink" Target="https://drive.google.com/open?id=1nLzFb_KoN3drm6OlhXsZAVK8YAwMCQrA" TargetMode="External"/><Relationship Id="rId242" Type="http://schemas.openxmlformats.org/officeDocument/2006/relationships/hyperlink" Target="http://www.linkedin.com/in/mariam-mostafa-23b72a2b5" TargetMode="External"/><Relationship Id="rId484" Type="http://schemas.openxmlformats.org/officeDocument/2006/relationships/hyperlink" Target="https://www.linkedin.com/in/mohamed-saeed-b3bb52222" TargetMode="External"/><Relationship Id="rId241" Type="http://schemas.openxmlformats.org/officeDocument/2006/relationships/hyperlink" Target="https://drive.google.com/open?id=1ZtA3yxQL5el3a-96P9SJacN8ua95rlri" TargetMode="External"/><Relationship Id="rId483" Type="http://schemas.openxmlformats.org/officeDocument/2006/relationships/hyperlink" Target="https://drive.google.com/open?id=1JSecwq2J3AeObJ1QA-XyBZCZQNqGkDh5" TargetMode="External"/><Relationship Id="rId240" Type="http://schemas.openxmlformats.org/officeDocument/2006/relationships/hyperlink" Target="https://www.linkedin.com/in/abdelaziz1990?utm_source=share&amp;utm_campaign=share_via&amp;utm_content=profile&amp;utm_medium=android_app" TargetMode="External"/><Relationship Id="rId482" Type="http://schemas.openxmlformats.org/officeDocument/2006/relationships/hyperlink" Target="https://www.linkedin.com/in/zahraa-ahmed-hilaly-9029612a8/" TargetMode="External"/><Relationship Id="rId481" Type="http://schemas.openxmlformats.org/officeDocument/2006/relationships/hyperlink" Target="https://drive.google.com/open?id=1CeDowfgGwUaNbcOb63Aalz7Oj7BQnWyK" TargetMode="External"/><Relationship Id="rId246" Type="http://schemas.openxmlformats.org/officeDocument/2006/relationships/hyperlink" Target="https://www.linkedin.com/in/muhammad-mahmoud-ameen?utm_source=share&amp;utm_campaign=share_via&amp;utm_content=profile&amp;utm_medium=android_app" TargetMode="External"/><Relationship Id="rId488" Type="http://schemas.openxmlformats.org/officeDocument/2006/relationships/hyperlink" Target="https://www.linkedin.com/in/ahmed-walid-nito/" TargetMode="External"/><Relationship Id="rId245" Type="http://schemas.openxmlformats.org/officeDocument/2006/relationships/hyperlink" Target="https://drive.google.com/open?id=1jEBmsXhtdpILw1q8EGB2NhOsHRRc2kCB" TargetMode="External"/><Relationship Id="rId487" Type="http://schemas.openxmlformats.org/officeDocument/2006/relationships/hyperlink" Target="https://drive.google.com/open?id=139P4b4oOvAQLRfUuIIxXhVb32kY3lvsJ" TargetMode="External"/><Relationship Id="rId244" Type="http://schemas.openxmlformats.org/officeDocument/2006/relationships/hyperlink" Target="https://www.linkedin.com/in/abdallah-naji-mahmoud?utm_source=share&amp;utm_campaign=share_via&amp;utm_content=profile&amp;utm_medium=android_app" TargetMode="External"/><Relationship Id="rId486" Type="http://schemas.openxmlformats.org/officeDocument/2006/relationships/hyperlink" Target="https://www.linkedin.com/in/kiboub-mohamed/" TargetMode="External"/><Relationship Id="rId243" Type="http://schemas.openxmlformats.org/officeDocument/2006/relationships/hyperlink" Target="https://drive.google.com/open?id=1cluljAd0_Rx8UCyNSVMDVOgFkuJXB_NM" TargetMode="External"/><Relationship Id="rId485" Type="http://schemas.openxmlformats.org/officeDocument/2006/relationships/hyperlink" Target="https://drive.google.com/open?id=1n-NE6QiFSC_r5w_2QTpwrMdhUnmo_N9B" TargetMode="External"/><Relationship Id="rId480" Type="http://schemas.openxmlformats.org/officeDocument/2006/relationships/hyperlink" Target="https://linkedin.com/in/saif-ahmed-72173a212" TargetMode="External"/><Relationship Id="rId239" Type="http://schemas.openxmlformats.org/officeDocument/2006/relationships/hyperlink" Target="https://drive.google.com/open?id=1z2arLgWCLY1hk_EALLGI_9F5JPVg1QCg" TargetMode="External"/><Relationship Id="rId238" Type="http://schemas.openxmlformats.org/officeDocument/2006/relationships/hyperlink" Target="https://www.linkedin.com/in/muhamedhisham?utm_source=share&amp;utm_campaign=share_via&amp;utm_content=profile&amp;utm_medium=android_app" TargetMode="External"/><Relationship Id="rId237" Type="http://schemas.openxmlformats.org/officeDocument/2006/relationships/hyperlink" Target="https://drive.google.com/open?id=1R6b5Y7XGBE8mUIFkJl-kLngzmHF-ZHfQ" TargetMode="External"/><Relationship Id="rId479" Type="http://schemas.openxmlformats.org/officeDocument/2006/relationships/hyperlink" Target="https://drive.google.com/open?id=1LpkvwE3yMfBnxsROU9vbPahpeNqRiTLN" TargetMode="External"/><Relationship Id="rId236" Type="http://schemas.openxmlformats.org/officeDocument/2006/relationships/hyperlink" Target="http://linkedin.com/in/mohamedadelfouda" TargetMode="External"/><Relationship Id="rId478" Type="http://schemas.openxmlformats.org/officeDocument/2006/relationships/hyperlink" Target="https://www.linkedin.com/in/momen-tarek2004" TargetMode="External"/><Relationship Id="rId231" Type="http://schemas.openxmlformats.org/officeDocument/2006/relationships/hyperlink" Target="https://www.linkedin.com/in/bassant-ashraf-2182a52a3?utm_source=share&amp;utm_campaign=share_via&amp;utm_content=profile&amp;utm_medium=ios_app" TargetMode="External"/><Relationship Id="rId473" Type="http://schemas.openxmlformats.org/officeDocument/2006/relationships/hyperlink" Target="https://drive.google.com/open?id=1liTp2C6jarpr6LXFFl8oFBCDFxyiQeW1" TargetMode="External"/><Relationship Id="rId230" Type="http://schemas.openxmlformats.org/officeDocument/2006/relationships/hyperlink" Target="https://drive.google.com/open?id=1Uvmpi3xMujZ_-MhD2s_S4aHdd9O8-Fzf" TargetMode="External"/><Relationship Id="rId472" Type="http://schemas.openxmlformats.org/officeDocument/2006/relationships/hyperlink" Target="http://www.linkedin.com/in/laila-mohammad-b1b1b7261" TargetMode="External"/><Relationship Id="rId471" Type="http://schemas.openxmlformats.org/officeDocument/2006/relationships/hyperlink" Target="https://drive.google.com/open?id=1Xoe1qvp-Tpj9Zp6eacWm0nQAZQzCUGy1" TargetMode="External"/><Relationship Id="rId470" Type="http://schemas.openxmlformats.org/officeDocument/2006/relationships/hyperlink" Target="https://www.linkedin.com/in/esraa-atef-0a1271169?utm_source=share&amp;utm_campaign=share_via&amp;utm_content=profile&amp;utm_medium=android_app" TargetMode="External"/><Relationship Id="rId235" Type="http://schemas.openxmlformats.org/officeDocument/2006/relationships/hyperlink" Target="https://drive.google.com/open?id=1j5Z6lPGgRFiUd0BLXImneJgljsTJmUxo" TargetMode="External"/><Relationship Id="rId477" Type="http://schemas.openxmlformats.org/officeDocument/2006/relationships/hyperlink" Target="https://drive.google.com/open?id=1kw1PJ4u3a8OvNfF9Vq2aYcm6vtXLxmZb" TargetMode="External"/><Relationship Id="rId234" Type="http://schemas.openxmlformats.org/officeDocument/2006/relationships/hyperlink" Target="https://drive.google.com/open?id=15j-imOG7dDNwnkWtWTFzf39h_QdtZrqx" TargetMode="External"/><Relationship Id="rId476" Type="http://schemas.openxmlformats.org/officeDocument/2006/relationships/hyperlink" Target="https://www.linkedin.com/in/mohamedyassenegypt/" TargetMode="External"/><Relationship Id="rId233" Type="http://schemas.openxmlformats.org/officeDocument/2006/relationships/hyperlink" Target="https://www.linkedin.com/in/asmaa-mahmoud-504888338" TargetMode="External"/><Relationship Id="rId475" Type="http://schemas.openxmlformats.org/officeDocument/2006/relationships/hyperlink" Target="https://drive.google.com/open?id=1_3S8m8blNA7-oWsVJw-AJPrgnsyw5031" TargetMode="External"/><Relationship Id="rId232" Type="http://schemas.openxmlformats.org/officeDocument/2006/relationships/hyperlink" Target="https://drive.google.com/open?id=1S-2fD0N364iVPwnSJHnyJjpzLapZjkZd" TargetMode="External"/><Relationship Id="rId474" Type="http://schemas.openxmlformats.org/officeDocument/2006/relationships/hyperlink" Target="https://www.linkedin.com/in/abdotech?utm_source=share&amp;utm_campaign=share_via&amp;utm_content=profile&amp;utm_medium=ios_app" TargetMode="External"/><Relationship Id="rId426" Type="http://schemas.openxmlformats.org/officeDocument/2006/relationships/hyperlink" Target="https://drive.google.com/open?id=1uPZ2CMiAoAuhmnSz9_IX-s3Ipf2Kcwr_" TargetMode="External"/><Relationship Id="rId668" Type="http://schemas.openxmlformats.org/officeDocument/2006/relationships/hyperlink" Target="http://www.linkedin.com/in/basel-tarek-044307321" TargetMode="External"/><Relationship Id="rId425" Type="http://schemas.openxmlformats.org/officeDocument/2006/relationships/hyperlink" Target="https://www.linkedin.com/in/khadega-ali-a614b7245?utm_source=share&amp;utm_campaign=share_via&amp;utm_content=profile&amp;utm_medium=ios_app" TargetMode="External"/><Relationship Id="rId667" Type="http://schemas.openxmlformats.org/officeDocument/2006/relationships/hyperlink" Target="https://drive.google.com/open?id=1eKEJujz3BoYO0W2anXXTF4A3PvJdamdp" TargetMode="External"/><Relationship Id="rId424" Type="http://schemas.openxmlformats.org/officeDocument/2006/relationships/hyperlink" Target="https://drive.google.com/open?id=1AVlpLriPE6sbNK2dwwapHw3PE_raP30L" TargetMode="External"/><Relationship Id="rId666" Type="http://schemas.openxmlformats.org/officeDocument/2006/relationships/hyperlink" Target="https://www.linkedin.com/in/menna-amr-61583b2b6?utm_source=share&amp;utm_campaign=share_via&amp;utm_content=profile&amp;utm_medium=ios_app" TargetMode="External"/><Relationship Id="rId423" Type="http://schemas.openxmlformats.org/officeDocument/2006/relationships/hyperlink" Target="http://www.linkedin.com/in/abdallahabdelzaher" TargetMode="External"/><Relationship Id="rId665" Type="http://schemas.openxmlformats.org/officeDocument/2006/relationships/hyperlink" Target="https://drive.google.com/open?id=1DRTh0LW091ONQtmV7kam_lhbWZ2pZDW7" TargetMode="External"/><Relationship Id="rId429" Type="http://schemas.openxmlformats.org/officeDocument/2006/relationships/hyperlink" Target="http://linkedin.com/in/dina-ahmed-21675b134" TargetMode="External"/><Relationship Id="rId428" Type="http://schemas.openxmlformats.org/officeDocument/2006/relationships/hyperlink" Target="https://drive.google.com/open?id=1yTm911Y0-b3vpQ9ukmsjId0MNtTaN2kV" TargetMode="External"/><Relationship Id="rId427" Type="http://schemas.openxmlformats.org/officeDocument/2006/relationships/hyperlink" Target="https://www.linkedin.com/in/sultan-a7med" TargetMode="External"/><Relationship Id="rId669" Type="http://schemas.openxmlformats.org/officeDocument/2006/relationships/hyperlink" Target="https://drive.google.com/open?id=1A1dP2uwd0rBQe2Ah-KcFU7jl4jEljSeZ" TargetMode="External"/><Relationship Id="rId660" Type="http://schemas.openxmlformats.org/officeDocument/2006/relationships/hyperlink" Target="https://drive.google.com/open?id=1TKUkkUh9lJNyvYH8nWp9JCuwb0HRgmSx" TargetMode="External"/><Relationship Id="rId422" Type="http://schemas.openxmlformats.org/officeDocument/2006/relationships/hyperlink" Target="https://drive.google.com/open?id=1IjswAnr97ROX8GhsBV90pH-xTjSQGH2c" TargetMode="External"/><Relationship Id="rId664" Type="http://schemas.openxmlformats.org/officeDocument/2006/relationships/hyperlink" Target="http://www.linkedin.com/in/tasneem-magdyi" TargetMode="External"/><Relationship Id="rId421" Type="http://schemas.openxmlformats.org/officeDocument/2006/relationships/hyperlink" Target="https://www.linkedin.com/in/omarshawkys/" TargetMode="External"/><Relationship Id="rId663" Type="http://schemas.openxmlformats.org/officeDocument/2006/relationships/hyperlink" Target="https://drive.google.com/open?id=1sceZcT2_acGx2IeP-uNEtbpg8wgrJczR" TargetMode="External"/><Relationship Id="rId420" Type="http://schemas.openxmlformats.org/officeDocument/2006/relationships/hyperlink" Target="https://drive.google.com/open?id=1UktJq8f7ed98SEhNCHy7ZaR0WIx3xNEb" TargetMode="External"/><Relationship Id="rId662" Type="http://schemas.openxmlformats.org/officeDocument/2006/relationships/hyperlink" Target="https://www.linkedin.com/in/a-laa-adel-saudi7852b4" TargetMode="External"/><Relationship Id="rId661" Type="http://schemas.openxmlformats.org/officeDocument/2006/relationships/hyperlink" Target="https://drive.google.com/open?id=1hiB8NrPN4GCZCRGZLuhRyQfyaQjbnHCy" TargetMode="External"/><Relationship Id="rId415" Type="http://schemas.openxmlformats.org/officeDocument/2006/relationships/hyperlink" Target="https://www.linkedin.com/in/mohamedgamalaskar/" TargetMode="External"/><Relationship Id="rId657" Type="http://schemas.openxmlformats.org/officeDocument/2006/relationships/hyperlink" Target="http://www.linkedin.com/in/mahmoudaelwer" TargetMode="External"/><Relationship Id="rId414" Type="http://schemas.openxmlformats.org/officeDocument/2006/relationships/hyperlink" Target="https://drive.google.com/open?id=1isFlsPRS_4W9CvWY9eubsge5HTCsUKxL" TargetMode="External"/><Relationship Id="rId656" Type="http://schemas.openxmlformats.org/officeDocument/2006/relationships/hyperlink" Target="https://drive.google.com/open?id=1REY9HjfOOU0WGaq_7Ln-3hoHGJxsYK0S" TargetMode="External"/><Relationship Id="rId413" Type="http://schemas.openxmlformats.org/officeDocument/2006/relationships/hyperlink" Target="https://www.linkedin.com/in/ibrahim-ellaithy-3224a13a9?utm_source=share&amp;utm_campaign=share_via&amp;utm_content=profile&amp;utm_medium=ios_app" TargetMode="External"/><Relationship Id="rId655" Type="http://schemas.openxmlformats.org/officeDocument/2006/relationships/hyperlink" Target="https://www.linkedin.com/in/ezzeldin-yasser-b336402b1?utm_source=share&amp;utm_campaign=share_via&amp;utm_content=profile&amp;utm_medium=ios_app" TargetMode="External"/><Relationship Id="rId412" Type="http://schemas.openxmlformats.org/officeDocument/2006/relationships/hyperlink" Target="https://drive.google.com/open?id=1-KACK2k2cnsQTEW3k6yMukQdOMlgGLxv" TargetMode="External"/><Relationship Id="rId654" Type="http://schemas.openxmlformats.org/officeDocument/2006/relationships/hyperlink" Target="https://drive.google.com/open?id=1smLo9VZDKiY94Cqo9hUDEliXhVE6MuTC" TargetMode="External"/><Relationship Id="rId419" Type="http://schemas.openxmlformats.org/officeDocument/2006/relationships/hyperlink" Target="https://www.linkedin.com/in/ali-adel-8942aa346" TargetMode="External"/><Relationship Id="rId418" Type="http://schemas.openxmlformats.org/officeDocument/2006/relationships/hyperlink" Target="https://drive.google.com/open?id=1f0ohrhUwraF4AarO43YUVupqzpW19OEv" TargetMode="External"/><Relationship Id="rId417" Type="http://schemas.openxmlformats.org/officeDocument/2006/relationships/hyperlink" Target="https://www.linkedin.com/in/raghad-el-dieb-842a57262?utm_source=share&amp;utm_campaign=share_via&amp;utm_content=profile&amp;utm_medium=android_app" TargetMode="External"/><Relationship Id="rId659" Type="http://schemas.openxmlformats.org/officeDocument/2006/relationships/hyperlink" Target="https://www.linkedin.com/in/eriny-daood-99a65431b?lipi=urn%3Ali%3Apage%3Ad_flagship3_profile_view_base_contact_details%3BXO8Vog9YSvKSvy9qnNgtMQ%3D%3D" TargetMode="External"/><Relationship Id="rId416" Type="http://schemas.openxmlformats.org/officeDocument/2006/relationships/hyperlink" Target="https://drive.google.com/open?id=1f-xh7TMvVtfxsUjZEw5DZGq77NDpFXbr" TargetMode="External"/><Relationship Id="rId658" Type="http://schemas.openxmlformats.org/officeDocument/2006/relationships/hyperlink" Target="https://drive.google.com/open?id=1l-cqqS_3Zo2tyA17OLYw00_QNZFMpfdZ" TargetMode="External"/><Relationship Id="rId411" Type="http://schemas.openxmlformats.org/officeDocument/2006/relationships/hyperlink" Target="https://www.linkedin.com/in/ahmadazharinfo" TargetMode="External"/><Relationship Id="rId653" Type="http://schemas.openxmlformats.org/officeDocument/2006/relationships/hyperlink" Target="https://www.linkedin.com/in/ahmed-sayed-zaid?utm_source=share&amp;utm_campaign=share_via&amp;utm_content=profile&amp;utm_medium=android_app" TargetMode="External"/><Relationship Id="rId410" Type="http://schemas.openxmlformats.org/officeDocument/2006/relationships/hyperlink" Target="https://drive.google.com/open?id=1gndFavXdVI3ApWE1Gj1pgXVVASP5RXjv" TargetMode="External"/><Relationship Id="rId652" Type="http://schemas.openxmlformats.org/officeDocument/2006/relationships/hyperlink" Target="https://drive.google.com/open?id=1ltUxn8FOzJhnQqr1KxLB30K8dAEWD_Kp" TargetMode="External"/><Relationship Id="rId651" Type="http://schemas.openxmlformats.org/officeDocument/2006/relationships/hyperlink" Target="http://linkedin.com/in/mohamed-wael-mohamed-9772803a4" TargetMode="External"/><Relationship Id="rId650" Type="http://schemas.openxmlformats.org/officeDocument/2006/relationships/hyperlink" Target="https://drive.google.com/open?id=18qCScOJdhx9GwIbemfa9XT3hMMBL7Tle" TargetMode="External"/><Relationship Id="rId206" Type="http://schemas.openxmlformats.org/officeDocument/2006/relationships/hyperlink" Target="https://drive.google.com/open?id=1RnM5pnNVDIZOKXmw8aKnzoOgHy7GWEP2" TargetMode="External"/><Relationship Id="rId448" Type="http://schemas.openxmlformats.org/officeDocument/2006/relationships/hyperlink" Target="https://drive.google.com/open?id=1p-rc1swFDLOOk06piqzwJumePGwLYEme" TargetMode="External"/><Relationship Id="rId205" Type="http://schemas.openxmlformats.org/officeDocument/2006/relationships/hyperlink" Target="https://www.linkedin.com/in/mariam-ashraf-0aba1b255?utm_source=share&amp;utm_campaign=share_via&amp;utm_content=profile&amp;utm_medium=android_app" TargetMode="External"/><Relationship Id="rId447" Type="http://schemas.openxmlformats.org/officeDocument/2006/relationships/hyperlink" Target="http://www.linkedin.com/in/abdelrahman-mohamed-salama05" TargetMode="External"/><Relationship Id="rId689" Type="http://schemas.openxmlformats.org/officeDocument/2006/relationships/hyperlink" Target="https://drive.google.com/open?id=1wZGVCy-TfW0I0vzBKwxxs_nslMyNJczn" TargetMode="External"/><Relationship Id="rId204" Type="http://schemas.openxmlformats.org/officeDocument/2006/relationships/hyperlink" Target="https://drive.google.com/open?id=1ZZAVgnjKx_ggi78wdaFcdLXnNxDBfxth" TargetMode="External"/><Relationship Id="rId446" Type="http://schemas.openxmlformats.org/officeDocument/2006/relationships/hyperlink" Target="https://drive.google.com/open?id=1qbjrzQizVwEhe_uXrmRtUcbmco37md_0" TargetMode="External"/><Relationship Id="rId688" Type="http://schemas.openxmlformats.org/officeDocument/2006/relationships/hyperlink" Target="https://www.linkedin.com/in/omnia-magdy09" TargetMode="External"/><Relationship Id="rId203" Type="http://schemas.openxmlformats.org/officeDocument/2006/relationships/hyperlink" Target="http://www.linkedin.com/in/amatalrahman-sayed" TargetMode="External"/><Relationship Id="rId445" Type="http://schemas.openxmlformats.org/officeDocument/2006/relationships/hyperlink" Target="https://www.linkedin.com/in/mahmoud-omar-190143354?lipi=urn%3Ali%3Apage%3Ad_flagship3_profile_view_base_contact_details%3BBPBSr0fiSbW3NVdfDRBuZA%3D%3D" TargetMode="External"/><Relationship Id="rId687" Type="http://schemas.openxmlformats.org/officeDocument/2006/relationships/hyperlink" Target="https://drive.google.com/open?id=1H-luw2anJY-kgSRTM9LhtbZD7snq8BBs" TargetMode="External"/><Relationship Id="rId209" Type="http://schemas.openxmlformats.org/officeDocument/2006/relationships/hyperlink" Target="https://www.linkedin.com/in/hisham-hamdy-abosaada/" TargetMode="External"/><Relationship Id="rId208" Type="http://schemas.openxmlformats.org/officeDocument/2006/relationships/hyperlink" Target="https://drive.google.com/open?id=1Ls6jmZqEPxuHvYZQbAl_XPpD6RSuCwzv" TargetMode="External"/><Relationship Id="rId207" Type="http://schemas.openxmlformats.org/officeDocument/2006/relationships/hyperlink" Target="https://www.linkedin.com/in/moazellithy" TargetMode="External"/><Relationship Id="rId449" Type="http://schemas.openxmlformats.org/officeDocument/2006/relationships/hyperlink" Target="https://www.linkedin.com/in/mahmoud-amin-eng?utm_source=share&amp;utm_campaign=share_via&amp;utm_content=profile&amp;utm_medium=android_app" TargetMode="External"/><Relationship Id="rId440" Type="http://schemas.openxmlformats.org/officeDocument/2006/relationships/hyperlink" Target="https://drive.google.com/open?id=1Vq8bsD15-Ju7LRwKUptpxt_ZPIep_Vpy" TargetMode="External"/><Relationship Id="rId682" Type="http://schemas.openxmlformats.org/officeDocument/2006/relationships/hyperlink" Target="http://www.linkedin.com/in/dina-a-gamaleldin" TargetMode="External"/><Relationship Id="rId681" Type="http://schemas.openxmlformats.org/officeDocument/2006/relationships/hyperlink" Target="https://drive.google.com/open?id=1HJ8mnANY4H3ktEjhCp_32wV5f2wQgLVE" TargetMode="External"/><Relationship Id="rId680" Type="http://schemas.openxmlformats.org/officeDocument/2006/relationships/hyperlink" Target="https://www.linkedin.com/in/mahmoud-mohamed-42103b25a" TargetMode="External"/><Relationship Id="rId202" Type="http://schemas.openxmlformats.org/officeDocument/2006/relationships/hyperlink" Target="https://drive.google.com/open?id=1rVWmIK3tXu9OR06eBttEIPfNSR6QTBIS" TargetMode="External"/><Relationship Id="rId444" Type="http://schemas.openxmlformats.org/officeDocument/2006/relationships/hyperlink" Target="https://drive.google.com/open?id=1wG8FFplY9m_z1Y-KQDCpvBJHbHbFXjKD" TargetMode="External"/><Relationship Id="rId686" Type="http://schemas.openxmlformats.org/officeDocument/2006/relationships/hyperlink" Target="https://www.linkedin.com/in/omar-garawani-8aa6a6184/?skipRedirect=true" TargetMode="External"/><Relationship Id="rId201" Type="http://schemas.openxmlformats.org/officeDocument/2006/relationships/hyperlink" Target="https://www.linkedin.com/in/abdulrahman-hegazy-802395356?utm_source=share_via&amp;utm_content=profile&amp;utm_medium=member_android" TargetMode="External"/><Relationship Id="rId443" Type="http://schemas.openxmlformats.org/officeDocument/2006/relationships/hyperlink" Target="https://www.linkedin.com/in/menna-abu-khadra-99887b229" TargetMode="External"/><Relationship Id="rId685" Type="http://schemas.openxmlformats.org/officeDocument/2006/relationships/hyperlink" Target="https://drive.google.com/open?id=1UVFSbuvXWZI2lFhCR1iZ-SMZ9_Yim9T9" TargetMode="External"/><Relationship Id="rId200" Type="http://schemas.openxmlformats.org/officeDocument/2006/relationships/hyperlink" Target="https://drive.google.com/open?id=1eegRjZHeqOeIALffCtDhewibrJvTGDC5" TargetMode="External"/><Relationship Id="rId442" Type="http://schemas.openxmlformats.org/officeDocument/2006/relationships/hyperlink" Target="https://drive.google.com/open?id=1hIrQKIKCpgNZv_4lVwnNlwbElfrlQM6R" TargetMode="External"/><Relationship Id="rId684" Type="http://schemas.openxmlformats.org/officeDocument/2006/relationships/hyperlink" Target="https://www.linkedin.com/in/amin-mahmoud-a37471305?utm_source=share&amp;utm_campaign=share_via&amp;utm_content=profile&amp;utm_medium=android_app" TargetMode="External"/><Relationship Id="rId441" Type="http://schemas.openxmlformats.org/officeDocument/2006/relationships/hyperlink" Target="https://www.linkedin.com/in/alihassan21" TargetMode="External"/><Relationship Id="rId683" Type="http://schemas.openxmlformats.org/officeDocument/2006/relationships/hyperlink" Target="https://drive.google.com/open?id=1Dr58x2ZgC8oXcF6jqiVGXOYdiy3x1rSG" TargetMode="External"/><Relationship Id="rId437" Type="http://schemas.openxmlformats.org/officeDocument/2006/relationships/hyperlink" Target="https://www.linkedin.com/in/sara-khattab-tech?utm_source=share&amp;utm_campaign=share_via&amp;utm_content=profile&amp;utm_medium=ios_app" TargetMode="External"/><Relationship Id="rId679" Type="http://schemas.openxmlformats.org/officeDocument/2006/relationships/hyperlink" Target="https://drive.google.com/open?id=1WXZBuqghEFdwz5BRvLfYM7Qax0Ga39za" TargetMode="External"/><Relationship Id="rId436" Type="http://schemas.openxmlformats.org/officeDocument/2006/relationships/hyperlink" Target="https://drive.google.com/open?id=1dhBxu1wRhJR0hqvmD_gSG89ogvWZfbdg" TargetMode="External"/><Relationship Id="rId678" Type="http://schemas.openxmlformats.org/officeDocument/2006/relationships/hyperlink" Target="http://www.linkedin.com/in/sohib-mohammed-b48bb0282" TargetMode="External"/><Relationship Id="rId435" Type="http://schemas.openxmlformats.org/officeDocument/2006/relationships/hyperlink" Target="http://linkedin.com/in/tarek-elgraidy" TargetMode="External"/><Relationship Id="rId677" Type="http://schemas.openxmlformats.org/officeDocument/2006/relationships/hyperlink" Target="https://drive.google.com/open?id=1hseVDRh7z2vhkWdYYVfbPJVjTCQsokST" TargetMode="External"/><Relationship Id="rId434" Type="http://schemas.openxmlformats.org/officeDocument/2006/relationships/hyperlink" Target="https://drive.google.com/open?id=1IwrtRcYqujx9Hx0Qb8WYJYGLtPM_pVv-" TargetMode="External"/><Relationship Id="rId676" Type="http://schemas.openxmlformats.org/officeDocument/2006/relationships/hyperlink" Target="https://www.linkedin.com/in/batool-basheer?utm_source=share_via&amp;utm_content=profile&amp;utm_medium=member_android" TargetMode="External"/><Relationship Id="rId439" Type="http://schemas.openxmlformats.org/officeDocument/2006/relationships/hyperlink" Target="https://www.linkedin.com/in/tebyansamy1?utm_source=share&amp;utm_campaign=share_via&amp;utm_content=profile&amp;utm_medium=android_app" TargetMode="External"/><Relationship Id="rId438" Type="http://schemas.openxmlformats.org/officeDocument/2006/relationships/hyperlink" Target="https://drive.google.com/open?id=1sunkn12CIhUw4CpnqNJxt10LeUx_UFGY" TargetMode="External"/><Relationship Id="rId671" Type="http://schemas.openxmlformats.org/officeDocument/2006/relationships/hyperlink" Target="https://drive.google.com/open?id=1Q5YThZFGvpzCxMgp83UeJ_Y4bPWpicqh" TargetMode="External"/><Relationship Id="rId670" Type="http://schemas.openxmlformats.org/officeDocument/2006/relationships/hyperlink" Target="https://www.linkedin.com/in/abdalla-abuelhadid" TargetMode="External"/><Relationship Id="rId433" Type="http://schemas.openxmlformats.org/officeDocument/2006/relationships/hyperlink" Target="http://linkedin.com/in/logain-abdallah" TargetMode="External"/><Relationship Id="rId675" Type="http://schemas.openxmlformats.org/officeDocument/2006/relationships/hyperlink" Target="https://drive.google.com/open?id=1fWxx2SRyfwxT40KldgDUruTJBcfnmrMi" TargetMode="External"/><Relationship Id="rId432" Type="http://schemas.openxmlformats.org/officeDocument/2006/relationships/hyperlink" Target="https://drive.google.com/open?id=1qwn6htddEy1Xj42MjwE7carEEOBCGYzd" TargetMode="External"/><Relationship Id="rId674" Type="http://schemas.openxmlformats.org/officeDocument/2006/relationships/hyperlink" Target="https://www.linkedin.com/me?trk=p_mwlite_feed-secondary_nav" TargetMode="External"/><Relationship Id="rId431" Type="http://schemas.openxmlformats.org/officeDocument/2006/relationships/hyperlink" Target="https://www.linkedin.com/in/karim-hamada/" TargetMode="External"/><Relationship Id="rId673" Type="http://schemas.openxmlformats.org/officeDocument/2006/relationships/hyperlink" Target="https://drive.google.com/open?id=1TDtdeke0AKv-91LBWr-5xk9uuD_KE0zf" TargetMode="External"/><Relationship Id="rId430" Type="http://schemas.openxmlformats.org/officeDocument/2006/relationships/hyperlink" Target="https://drive.google.com/open?id=12GUhJjQpyuUhGyXUAhxxL8Uo0MElU-MF" TargetMode="External"/><Relationship Id="rId672" Type="http://schemas.openxmlformats.org/officeDocument/2006/relationships/hyperlink" Target="http://www.linkedin.com/in/nehal-afify-10138b18b"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75"/>
    <col customWidth="1" min="3" max="3" width="34.38"/>
    <col customWidth="1" min="4" max="4" width="27.25"/>
    <col customWidth="1" min="5" max="5" width="35.0"/>
    <col customWidth="1" min="6" max="6" width="18.88"/>
    <col customWidth="1" min="7" max="7" width="21.63"/>
    <col customWidth="1" min="8" max="8" width="30.5"/>
    <col customWidth="1" min="9" max="9" width="25.38"/>
    <col customWidth="1" min="10" max="10" width="26.75"/>
    <col customWidth="1" min="11" max="11" width="23.13"/>
    <col customWidth="1" min="12" max="12" width="203.63"/>
    <col customWidth="1" min="13" max="13" width="636.88"/>
    <col customWidth="1" min="14" max="19"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row>
    <row r="2" ht="22.5" customHeight="1">
      <c r="A2" s="4">
        <v>46045.72580638889</v>
      </c>
      <c r="B2" s="5" t="s">
        <v>13</v>
      </c>
      <c r="C2" s="6" t="s">
        <v>14</v>
      </c>
      <c r="D2" s="5" t="s">
        <v>15</v>
      </c>
      <c r="E2" s="5" t="s">
        <v>16</v>
      </c>
      <c r="F2" s="7" t="s">
        <v>17</v>
      </c>
      <c r="G2" s="7" t="s">
        <v>18</v>
      </c>
      <c r="H2" s="5" t="s">
        <v>19</v>
      </c>
      <c r="I2" s="5" t="s">
        <v>20</v>
      </c>
      <c r="J2" s="5" t="s">
        <v>21</v>
      </c>
      <c r="K2" s="5" t="s">
        <v>22</v>
      </c>
      <c r="L2" s="5" t="s">
        <v>23</v>
      </c>
      <c r="M2" s="5" t="s">
        <v>20</v>
      </c>
    </row>
    <row r="3" ht="22.5" customHeight="1">
      <c r="A3" s="4">
        <v>46045.728194560186</v>
      </c>
      <c r="B3" s="5" t="s">
        <v>24</v>
      </c>
      <c r="C3" s="6" t="s">
        <v>25</v>
      </c>
      <c r="D3" s="5" t="s">
        <v>26</v>
      </c>
      <c r="E3" s="5" t="s">
        <v>16</v>
      </c>
      <c r="F3" s="7" t="s">
        <v>27</v>
      </c>
      <c r="G3" s="7" t="s">
        <v>28</v>
      </c>
      <c r="H3" s="5" t="s">
        <v>29</v>
      </c>
      <c r="I3" s="5" t="s">
        <v>30</v>
      </c>
      <c r="J3" s="5" t="s">
        <v>31</v>
      </c>
      <c r="K3" s="5" t="s">
        <v>32</v>
      </c>
      <c r="L3" s="5" t="s">
        <v>33</v>
      </c>
      <c r="M3" s="5" t="s">
        <v>34</v>
      </c>
    </row>
    <row r="4" ht="22.5" customHeight="1">
      <c r="A4" s="4">
        <v>46045.72819662037</v>
      </c>
      <c r="B4" s="5" t="s">
        <v>35</v>
      </c>
      <c r="C4" s="6" t="s">
        <v>36</v>
      </c>
      <c r="D4" s="5" t="s">
        <v>37</v>
      </c>
      <c r="E4" s="5" t="s">
        <v>16</v>
      </c>
      <c r="F4" s="7" t="s">
        <v>38</v>
      </c>
      <c r="G4" s="7" t="s">
        <v>39</v>
      </c>
      <c r="H4" s="5" t="s">
        <v>40</v>
      </c>
      <c r="I4" s="5" t="s">
        <v>41</v>
      </c>
      <c r="J4" s="5" t="s">
        <v>21</v>
      </c>
      <c r="K4" s="5" t="s">
        <v>32</v>
      </c>
      <c r="L4" s="5" t="s">
        <v>42</v>
      </c>
      <c r="M4" s="5" t="s">
        <v>43</v>
      </c>
    </row>
    <row r="5" ht="22.5" customHeight="1">
      <c r="A5" s="4">
        <v>46045.72919542824</v>
      </c>
      <c r="B5" s="8" t="s">
        <v>44</v>
      </c>
      <c r="C5" s="6" t="s">
        <v>45</v>
      </c>
      <c r="D5" s="5" t="s">
        <v>46</v>
      </c>
      <c r="E5" s="5" t="s">
        <v>47</v>
      </c>
      <c r="F5" s="7" t="s">
        <v>48</v>
      </c>
      <c r="G5" s="7" t="s">
        <v>49</v>
      </c>
      <c r="H5" s="8" t="s">
        <v>50</v>
      </c>
      <c r="I5" s="5" t="s">
        <v>51</v>
      </c>
      <c r="J5" s="5" t="s">
        <v>21</v>
      </c>
      <c r="K5" s="5" t="s">
        <v>22</v>
      </c>
      <c r="L5" s="5" t="s">
        <v>52</v>
      </c>
      <c r="M5" s="8" t="s">
        <v>53</v>
      </c>
    </row>
    <row r="6" ht="22.5" customHeight="1">
      <c r="A6" s="4">
        <v>46045.72943902778</v>
      </c>
      <c r="B6" s="5" t="s">
        <v>54</v>
      </c>
      <c r="C6" s="6" t="s">
        <v>55</v>
      </c>
      <c r="D6" s="5" t="s">
        <v>56</v>
      </c>
      <c r="E6" s="5" t="s">
        <v>47</v>
      </c>
      <c r="F6" s="7" t="s">
        <v>57</v>
      </c>
      <c r="G6" s="7" t="s">
        <v>58</v>
      </c>
      <c r="H6" s="5" t="s">
        <v>59</v>
      </c>
      <c r="I6" s="5" t="s">
        <v>60</v>
      </c>
      <c r="J6" s="5" t="s">
        <v>61</v>
      </c>
      <c r="K6" s="5" t="s">
        <v>22</v>
      </c>
      <c r="L6" s="5" t="s">
        <v>62</v>
      </c>
      <c r="M6" s="5" t="s">
        <v>63</v>
      </c>
    </row>
    <row r="7" ht="22.5" customHeight="1">
      <c r="A7" s="4">
        <v>46045.731644155094</v>
      </c>
      <c r="B7" s="5" t="s">
        <v>64</v>
      </c>
      <c r="C7" s="6" t="s">
        <v>65</v>
      </c>
      <c r="D7" s="5" t="s">
        <v>66</v>
      </c>
      <c r="E7" s="5" t="s">
        <v>16</v>
      </c>
      <c r="F7" s="7" t="s">
        <v>67</v>
      </c>
      <c r="G7" s="7" t="s">
        <v>68</v>
      </c>
      <c r="H7" s="5" t="s">
        <v>69</v>
      </c>
      <c r="I7" s="5" t="s">
        <v>70</v>
      </c>
      <c r="J7" s="5" t="s">
        <v>71</v>
      </c>
      <c r="K7" s="5" t="s">
        <v>22</v>
      </c>
      <c r="L7" s="5" t="s">
        <v>72</v>
      </c>
      <c r="M7" s="5" t="s">
        <v>73</v>
      </c>
    </row>
    <row r="8" ht="22.5" customHeight="1">
      <c r="A8" s="4">
        <v>46045.73396353009</v>
      </c>
      <c r="B8" s="5" t="s">
        <v>74</v>
      </c>
      <c r="C8" s="6" t="s">
        <v>75</v>
      </c>
      <c r="D8" s="5" t="s">
        <v>76</v>
      </c>
      <c r="E8" s="5" t="s">
        <v>16</v>
      </c>
      <c r="F8" s="7" t="s">
        <v>77</v>
      </c>
      <c r="G8" s="7" t="s">
        <v>78</v>
      </c>
      <c r="H8" s="5" t="s">
        <v>79</v>
      </c>
      <c r="I8" s="5" t="s">
        <v>80</v>
      </c>
      <c r="J8" s="5" t="s">
        <v>31</v>
      </c>
      <c r="K8" s="5" t="s">
        <v>22</v>
      </c>
      <c r="L8" s="5" t="s">
        <v>81</v>
      </c>
      <c r="M8" s="8" t="s">
        <v>82</v>
      </c>
    </row>
    <row r="9" ht="22.5" customHeight="1">
      <c r="A9" s="4">
        <v>46045.73428089121</v>
      </c>
      <c r="B9" s="5" t="s">
        <v>83</v>
      </c>
      <c r="C9" s="6" t="s">
        <v>84</v>
      </c>
      <c r="D9" s="5" t="s">
        <v>85</v>
      </c>
      <c r="E9" s="5" t="s">
        <v>16</v>
      </c>
      <c r="F9" s="7" t="s">
        <v>86</v>
      </c>
      <c r="G9" s="7" t="s">
        <v>87</v>
      </c>
      <c r="H9" s="5" t="s">
        <v>88</v>
      </c>
      <c r="I9" s="5" t="s">
        <v>89</v>
      </c>
      <c r="J9" s="5" t="s">
        <v>90</v>
      </c>
      <c r="K9" s="5" t="s">
        <v>32</v>
      </c>
      <c r="L9" s="5" t="s">
        <v>91</v>
      </c>
      <c r="M9" s="5" t="s">
        <v>92</v>
      </c>
    </row>
    <row r="10" ht="22.5" customHeight="1">
      <c r="A10" s="4">
        <v>46045.73437077546</v>
      </c>
      <c r="B10" s="5" t="s">
        <v>93</v>
      </c>
      <c r="C10" s="5">
        <v>1.148660852E9</v>
      </c>
      <c r="D10" s="5" t="s">
        <v>94</v>
      </c>
      <c r="E10" s="5" t="s">
        <v>16</v>
      </c>
      <c r="F10" s="7" t="s">
        <v>95</v>
      </c>
      <c r="G10" s="7" t="s">
        <v>96</v>
      </c>
      <c r="H10" s="5" t="s">
        <v>97</v>
      </c>
      <c r="I10" s="5" t="s">
        <v>98</v>
      </c>
      <c r="J10" s="5" t="s">
        <v>99</v>
      </c>
      <c r="K10" s="5" t="s">
        <v>32</v>
      </c>
      <c r="L10" s="5" t="s">
        <v>100</v>
      </c>
      <c r="M10" s="5" t="s">
        <v>101</v>
      </c>
    </row>
    <row r="11" ht="22.5" customHeight="1">
      <c r="A11" s="4">
        <v>46045.735738981486</v>
      </c>
      <c r="B11" s="5" t="s">
        <v>102</v>
      </c>
      <c r="C11" s="6" t="s">
        <v>103</v>
      </c>
      <c r="D11" s="5" t="s">
        <v>104</v>
      </c>
      <c r="E11" s="5" t="s">
        <v>16</v>
      </c>
      <c r="F11" s="7" t="s">
        <v>105</v>
      </c>
      <c r="G11" s="7" t="s">
        <v>106</v>
      </c>
      <c r="H11" s="5" t="s">
        <v>107</v>
      </c>
      <c r="I11" s="5" t="s">
        <v>108</v>
      </c>
      <c r="J11" s="5" t="s">
        <v>109</v>
      </c>
      <c r="K11" s="5" t="s">
        <v>110</v>
      </c>
      <c r="L11" s="5" t="s">
        <v>111</v>
      </c>
      <c r="M11" s="5" t="s">
        <v>112</v>
      </c>
    </row>
    <row r="12" ht="22.5" customHeight="1">
      <c r="A12" s="4">
        <v>46045.73862959491</v>
      </c>
      <c r="B12" s="5" t="s">
        <v>113</v>
      </c>
      <c r="C12" s="6" t="s">
        <v>114</v>
      </c>
      <c r="D12" s="5" t="s">
        <v>115</v>
      </c>
      <c r="E12" s="5" t="s">
        <v>116</v>
      </c>
      <c r="F12" s="7" t="s">
        <v>117</v>
      </c>
      <c r="G12" s="7" t="s">
        <v>118</v>
      </c>
      <c r="H12" s="5" t="s">
        <v>119</v>
      </c>
      <c r="I12" s="5" t="s">
        <v>120</v>
      </c>
      <c r="J12" s="5" t="s">
        <v>121</v>
      </c>
      <c r="K12" s="5" t="s">
        <v>122</v>
      </c>
      <c r="L12" s="5" t="s">
        <v>123</v>
      </c>
      <c r="M12" s="5" t="s">
        <v>124</v>
      </c>
    </row>
    <row r="13" ht="22.5" customHeight="1">
      <c r="A13" s="4">
        <v>46045.73928678241</v>
      </c>
      <c r="B13" s="5" t="s">
        <v>125</v>
      </c>
      <c r="C13" s="5">
        <v>1.270700864E9</v>
      </c>
      <c r="D13" s="5" t="s">
        <v>126</v>
      </c>
      <c r="E13" s="5" t="s">
        <v>16</v>
      </c>
      <c r="F13" s="7" t="s">
        <v>127</v>
      </c>
      <c r="G13" s="7" t="s">
        <v>128</v>
      </c>
      <c r="H13" s="5" t="s">
        <v>129</v>
      </c>
      <c r="I13" s="5" t="s">
        <v>130</v>
      </c>
      <c r="J13" s="5" t="s">
        <v>21</v>
      </c>
      <c r="K13" s="5" t="s">
        <v>110</v>
      </c>
      <c r="L13" s="5" t="s">
        <v>131</v>
      </c>
      <c r="M13" s="5" t="s">
        <v>132</v>
      </c>
    </row>
    <row r="14" ht="22.5" customHeight="1">
      <c r="A14" s="4">
        <v>46045.74034415509</v>
      </c>
      <c r="B14" s="5" t="s">
        <v>133</v>
      </c>
      <c r="C14" s="6" t="s">
        <v>134</v>
      </c>
      <c r="D14" s="5" t="s">
        <v>135</v>
      </c>
      <c r="E14" s="5" t="s">
        <v>47</v>
      </c>
      <c r="F14" s="7" t="s">
        <v>136</v>
      </c>
      <c r="G14" s="7" t="s">
        <v>137</v>
      </c>
      <c r="H14" s="5" t="s">
        <v>138</v>
      </c>
      <c r="I14" s="5" t="s">
        <v>139</v>
      </c>
      <c r="J14" s="5" t="s">
        <v>140</v>
      </c>
      <c r="K14" s="5" t="s">
        <v>22</v>
      </c>
      <c r="L14" s="5" t="s">
        <v>141</v>
      </c>
      <c r="M14" s="5" t="s">
        <v>142</v>
      </c>
    </row>
    <row r="15" ht="22.5" customHeight="1">
      <c r="A15" s="4">
        <v>46045.74047388889</v>
      </c>
      <c r="B15" s="5" t="s">
        <v>143</v>
      </c>
      <c r="C15" s="5">
        <v>1.093600303E9</v>
      </c>
      <c r="D15" s="5" t="s">
        <v>144</v>
      </c>
      <c r="E15" s="5" t="s">
        <v>16</v>
      </c>
      <c r="F15" s="7" t="s">
        <v>145</v>
      </c>
      <c r="G15" s="7" t="s">
        <v>146</v>
      </c>
      <c r="H15" s="5" t="s">
        <v>147</v>
      </c>
      <c r="I15" s="5" t="s">
        <v>148</v>
      </c>
      <c r="J15" s="5" t="s">
        <v>149</v>
      </c>
      <c r="K15" s="5" t="s">
        <v>122</v>
      </c>
      <c r="L15" s="5" t="s">
        <v>150</v>
      </c>
      <c r="M15" s="5" t="s">
        <v>151</v>
      </c>
    </row>
    <row r="16" ht="22.5" customHeight="1">
      <c r="A16" s="4">
        <v>46045.74592336806</v>
      </c>
      <c r="B16" s="5" t="s">
        <v>152</v>
      </c>
      <c r="C16" s="6" t="s">
        <v>153</v>
      </c>
      <c r="D16" s="5" t="s">
        <v>154</v>
      </c>
      <c r="E16" s="5" t="s">
        <v>116</v>
      </c>
      <c r="F16" s="7" t="s">
        <v>155</v>
      </c>
      <c r="G16" s="7" t="s">
        <v>156</v>
      </c>
      <c r="H16" s="5" t="s">
        <v>157</v>
      </c>
      <c r="I16" s="5" t="s">
        <v>158</v>
      </c>
      <c r="J16" s="5" t="s">
        <v>159</v>
      </c>
      <c r="K16" s="5" t="s">
        <v>22</v>
      </c>
      <c r="L16" s="5" t="s">
        <v>141</v>
      </c>
      <c r="M16" s="5" t="s">
        <v>160</v>
      </c>
    </row>
    <row r="17" ht="22.5" customHeight="1">
      <c r="A17" s="4">
        <v>46045.74810298611</v>
      </c>
      <c r="B17" s="5" t="s">
        <v>161</v>
      </c>
      <c r="C17" s="6" t="s">
        <v>162</v>
      </c>
      <c r="D17" s="5" t="s">
        <v>163</v>
      </c>
      <c r="E17" s="5" t="s">
        <v>47</v>
      </c>
      <c r="F17" s="7" t="s">
        <v>164</v>
      </c>
      <c r="G17" s="7" t="s">
        <v>165</v>
      </c>
      <c r="H17" s="5" t="s">
        <v>166</v>
      </c>
      <c r="I17" s="5" t="s">
        <v>167</v>
      </c>
      <c r="J17" s="5" t="s">
        <v>168</v>
      </c>
      <c r="K17" s="5" t="s">
        <v>22</v>
      </c>
      <c r="L17" s="5" t="s">
        <v>141</v>
      </c>
      <c r="M17" s="5" t="s">
        <v>73</v>
      </c>
    </row>
    <row r="18" ht="22.5" customHeight="1">
      <c r="A18" s="4">
        <v>46045.749240185185</v>
      </c>
      <c r="B18" s="8" t="s">
        <v>169</v>
      </c>
      <c r="C18" s="6" t="s">
        <v>170</v>
      </c>
      <c r="D18" s="5" t="s">
        <v>171</v>
      </c>
      <c r="E18" s="5" t="s">
        <v>47</v>
      </c>
      <c r="F18" s="7" t="s">
        <v>172</v>
      </c>
      <c r="G18" s="7" t="s">
        <v>173</v>
      </c>
      <c r="H18" s="5" t="s">
        <v>174</v>
      </c>
      <c r="I18" s="5" t="s">
        <v>175</v>
      </c>
      <c r="J18" s="5" t="s">
        <v>176</v>
      </c>
      <c r="K18" s="5" t="s">
        <v>110</v>
      </c>
      <c r="L18" s="5" t="s">
        <v>177</v>
      </c>
      <c r="M18" s="5" t="s">
        <v>178</v>
      </c>
    </row>
    <row r="19" ht="22.5" customHeight="1">
      <c r="A19" s="4">
        <v>46045.749885219906</v>
      </c>
      <c r="B19" s="5" t="s">
        <v>179</v>
      </c>
      <c r="C19" s="6" t="s">
        <v>180</v>
      </c>
      <c r="D19" s="5" t="s">
        <v>181</v>
      </c>
      <c r="E19" s="5" t="s">
        <v>47</v>
      </c>
      <c r="F19" s="7" t="s">
        <v>182</v>
      </c>
      <c r="G19" s="7" t="s">
        <v>183</v>
      </c>
      <c r="H19" s="5" t="s">
        <v>184</v>
      </c>
      <c r="I19" s="5" t="s">
        <v>185</v>
      </c>
      <c r="J19" s="5" t="s">
        <v>186</v>
      </c>
      <c r="K19" s="5" t="s">
        <v>22</v>
      </c>
      <c r="L19" s="5" t="s">
        <v>187</v>
      </c>
      <c r="M19" s="5" t="s">
        <v>188</v>
      </c>
    </row>
    <row r="20" ht="22.5" customHeight="1">
      <c r="A20" s="4">
        <v>46045.75049494213</v>
      </c>
      <c r="B20" s="5" t="s">
        <v>189</v>
      </c>
      <c r="C20" s="6" t="s">
        <v>190</v>
      </c>
      <c r="D20" s="5" t="s">
        <v>191</v>
      </c>
      <c r="E20" s="5" t="s">
        <v>47</v>
      </c>
      <c r="F20" s="7" t="s">
        <v>192</v>
      </c>
      <c r="G20" s="7" t="s">
        <v>193</v>
      </c>
      <c r="H20" s="5" t="s">
        <v>194</v>
      </c>
      <c r="I20" s="5" t="s">
        <v>195</v>
      </c>
      <c r="J20" s="5" t="s">
        <v>31</v>
      </c>
      <c r="K20" s="5" t="s">
        <v>22</v>
      </c>
      <c r="L20" s="5" t="s">
        <v>123</v>
      </c>
      <c r="M20" s="5" t="s">
        <v>73</v>
      </c>
    </row>
    <row r="21" ht="22.5" customHeight="1">
      <c r="A21" s="4">
        <v>46045.751542384256</v>
      </c>
      <c r="B21" s="5" t="s">
        <v>196</v>
      </c>
      <c r="C21" s="6" t="s">
        <v>197</v>
      </c>
      <c r="D21" s="5" t="s">
        <v>198</v>
      </c>
      <c r="E21" s="5" t="s">
        <v>16</v>
      </c>
      <c r="F21" s="7" t="s">
        <v>199</v>
      </c>
      <c r="G21" s="7" t="s">
        <v>200</v>
      </c>
      <c r="H21" s="5" t="s">
        <v>201</v>
      </c>
      <c r="I21" s="5" t="s">
        <v>202</v>
      </c>
      <c r="J21" s="5" t="s">
        <v>21</v>
      </c>
      <c r="K21" s="5" t="s">
        <v>32</v>
      </c>
      <c r="L21" s="5" t="s">
        <v>203</v>
      </c>
      <c r="M21" s="5" t="s">
        <v>204</v>
      </c>
    </row>
    <row r="22" ht="22.5" customHeight="1">
      <c r="A22" s="4">
        <v>46045.75196552083</v>
      </c>
      <c r="B22" s="5" t="s">
        <v>205</v>
      </c>
      <c r="C22" s="6" t="s">
        <v>206</v>
      </c>
      <c r="D22" s="5" t="s">
        <v>207</v>
      </c>
      <c r="E22" s="5" t="s">
        <v>116</v>
      </c>
      <c r="F22" s="7" t="s">
        <v>208</v>
      </c>
      <c r="G22" s="7" t="s">
        <v>209</v>
      </c>
      <c r="H22" s="5" t="s">
        <v>210</v>
      </c>
      <c r="I22" s="5" t="s">
        <v>211</v>
      </c>
      <c r="J22" s="5" t="s">
        <v>31</v>
      </c>
      <c r="K22" s="5" t="s">
        <v>32</v>
      </c>
      <c r="L22" s="5" t="s">
        <v>212</v>
      </c>
      <c r="M22" s="5" t="s">
        <v>213</v>
      </c>
    </row>
    <row r="23" ht="22.5" customHeight="1">
      <c r="A23" s="4">
        <v>46045.754214872686</v>
      </c>
      <c r="B23" s="5" t="s">
        <v>214</v>
      </c>
      <c r="C23" s="6" t="s">
        <v>215</v>
      </c>
      <c r="D23" s="5" t="s">
        <v>216</v>
      </c>
      <c r="E23" s="5" t="s">
        <v>47</v>
      </c>
      <c r="F23" s="7" t="s">
        <v>217</v>
      </c>
      <c r="G23" s="7" t="s">
        <v>218</v>
      </c>
      <c r="H23" s="8" t="s">
        <v>219</v>
      </c>
      <c r="I23" s="8" t="s">
        <v>220</v>
      </c>
      <c r="J23" s="8" t="s">
        <v>221</v>
      </c>
      <c r="K23" s="5" t="s">
        <v>122</v>
      </c>
      <c r="L23" s="5" t="s">
        <v>222</v>
      </c>
      <c r="M23" s="5" t="s">
        <v>160</v>
      </c>
    </row>
    <row r="24" ht="22.5" customHeight="1">
      <c r="A24" s="4">
        <v>46045.75560476852</v>
      </c>
      <c r="B24" s="5" t="s">
        <v>223</v>
      </c>
      <c r="C24" s="6" t="s">
        <v>224</v>
      </c>
      <c r="D24" s="5" t="s">
        <v>225</v>
      </c>
      <c r="E24" s="5" t="s">
        <v>16</v>
      </c>
      <c r="F24" s="7" t="s">
        <v>226</v>
      </c>
      <c r="G24" s="7" t="s">
        <v>227</v>
      </c>
      <c r="H24" s="5" t="s">
        <v>228</v>
      </c>
      <c r="I24" s="5" t="s">
        <v>229</v>
      </c>
      <c r="J24" s="5" t="s">
        <v>230</v>
      </c>
      <c r="K24" s="5" t="s">
        <v>32</v>
      </c>
      <c r="L24" s="5" t="s">
        <v>231</v>
      </c>
      <c r="M24" s="5" t="s">
        <v>232</v>
      </c>
    </row>
    <row r="25" ht="22.5" customHeight="1">
      <c r="A25" s="4">
        <v>46045.757806747686</v>
      </c>
      <c r="B25" s="5" t="s">
        <v>233</v>
      </c>
      <c r="C25" s="6" t="s">
        <v>234</v>
      </c>
      <c r="D25" s="5" t="s">
        <v>235</v>
      </c>
      <c r="E25" s="5" t="s">
        <v>16</v>
      </c>
      <c r="F25" s="7" t="s">
        <v>236</v>
      </c>
      <c r="G25" s="7" t="s">
        <v>237</v>
      </c>
      <c r="H25" s="5" t="s">
        <v>238</v>
      </c>
      <c r="I25" s="5" t="s">
        <v>239</v>
      </c>
      <c r="J25" s="5" t="s">
        <v>21</v>
      </c>
      <c r="K25" s="5" t="s">
        <v>22</v>
      </c>
      <c r="L25" s="5" t="s">
        <v>240</v>
      </c>
      <c r="M25" s="5" t="s">
        <v>20</v>
      </c>
    </row>
    <row r="26" ht="22.5" customHeight="1">
      <c r="A26" s="4">
        <v>46045.76042460648</v>
      </c>
      <c r="B26" s="5" t="s">
        <v>241</v>
      </c>
      <c r="C26" s="6" t="s">
        <v>242</v>
      </c>
      <c r="D26" s="5" t="s">
        <v>243</v>
      </c>
      <c r="E26" s="5" t="s">
        <v>47</v>
      </c>
      <c r="F26" s="7" t="s">
        <v>244</v>
      </c>
      <c r="G26" s="7" t="s">
        <v>245</v>
      </c>
      <c r="H26" s="5" t="s">
        <v>246</v>
      </c>
      <c r="I26" s="5" t="s">
        <v>247</v>
      </c>
      <c r="J26" s="5" t="s">
        <v>248</v>
      </c>
      <c r="K26" s="5" t="s">
        <v>32</v>
      </c>
      <c r="L26" s="5" t="s">
        <v>249</v>
      </c>
      <c r="M26" s="5" t="s">
        <v>250</v>
      </c>
    </row>
    <row r="27" ht="22.5" customHeight="1">
      <c r="A27" s="4">
        <v>46045.761144062504</v>
      </c>
      <c r="B27" s="5" t="s">
        <v>251</v>
      </c>
      <c r="C27" s="6" t="s">
        <v>252</v>
      </c>
      <c r="D27" s="5" t="s">
        <v>253</v>
      </c>
      <c r="E27" s="5" t="s">
        <v>16</v>
      </c>
      <c r="F27" s="7" t="s">
        <v>254</v>
      </c>
      <c r="G27" s="7" t="s">
        <v>255</v>
      </c>
      <c r="H27" s="5" t="s">
        <v>256</v>
      </c>
      <c r="I27" s="5" t="s">
        <v>257</v>
      </c>
      <c r="J27" s="5" t="s">
        <v>258</v>
      </c>
      <c r="K27" s="5" t="s">
        <v>32</v>
      </c>
      <c r="L27" s="5" t="s">
        <v>259</v>
      </c>
      <c r="M27" s="5" t="s">
        <v>260</v>
      </c>
    </row>
    <row r="28" ht="22.5" customHeight="1">
      <c r="A28" s="4">
        <v>46045.761466400465</v>
      </c>
      <c r="B28" s="5" t="s">
        <v>261</v>
      </c>
      <c r="C28" s="5" t="s">
        <v>262</v>
      </c>
      <c r="D28" s="5" t="s">
        <v>263</v>
      </c>
      <c r="E28" s="5" t="s">
        <v>16</v>
      </c>
      <c r="F28" s="7" t="s">
        <v>264</v>
      </c>
      <c r="G28" s="7" t="s">
        <v>265</v>
      </c>
      <c r="H28" s="5" t="s">
        <v>266</v>
      </c>
      <c r="I28" s="5" t="s">
        <v>267</v>
      </c>
      <c r="J28" s="5" t="s">
        <v>268</v>
      </c>
      <c r="K28" s="5" t="s">
        <v>32</v>
      </c>
      <c r="L28" s="5" t="s">
        <v>123</v>
      </c>
      <c r="M28" s="5" t="s">
        <v>73</v>
      </c>
    </row>
    <row r="29" ht="22.5" customHeight="1">
      <c r="A29" s="4">
        <v>46045.766628530095</v>
      </c>
      <c r="B29" s="5" t="s">
        <v>269</v>
      </c>
      <c r="C29" s="6" t="s">
        <v>270</v>
      </c>
      <c r="D29" s="5" t="s">
        <v>271</v>
      </c>
      <c r="E29" s="5" t="s">
        <v>16</v>
      </c>
      <c r="F29" s="7" t="s">
        <v>272</v>
      </c>
      <c r="G29" s="7" t="s">
        <v>273</v>
      </c>
      <c r="H29" s="5" t="s">
        <v>274</v>
      </c>
      <c r="I29" s="5" t="s">
        <v>275</v>
      </c>
      <c r="J29" s="5" t="s">
        <v>21</v>
      </c>
      <c r="K29" s="5" t="s">
        <v>32</v>
      </c>
      <c r="L29" s="5" t="s">
        <v>123</v>
      </c>
      <c r="M29" s="5" t="s">
        <v>34</v>
      </c>
    </row>
    <row r="30" ht="22.5" customHeight="1">
      <c r="A30" s="4">
        <v>46045.769160682874</v>
      </c>
      <c r="B30" s="5" t="s">
        <v>276</v>
      </c>
      <c r="C30" s="6" t="s">
        <v>277</v>
      </c>
      <c r="D30" s="5" t="s">
        <v>278</v>
      </c>
      <c r="E30" s="5" t="s">
        <v>47</v>
      </c>
      <c r="F30" s="7" t="s">
        <v>279</v>
      </c>
      <c r="G30" s="7" t="s">
        <v>280</v>
      </c>
      <c r="H30" s="5" t="s">
        <v>281</v>
      </c>
      <c r="I30" s="5" t="s">
        <v>282</v>
      </c>
      <c r="J30" s="5" t="s">
        <v>149</v>
      </c>
      <c r="K30" s="5" t="s">
        <v>22</v>
      </c>
      <c r="L30" s="5" t="s">
        <v>283</v>
      </c>
      <c r="M30" s="5" t="s">
        <v>284</v>
      </c>
    </row>
    <row r="31" ht="22.5" customHeight="1">
      <c r="A31" s="4">
        <v>46045.778851111114</v>
      </c>
      <c r="B31" s="5" t="s">
        <v>285</v>
      </c>
      <c r="C31" s="6" t="s">
        <v>286</v>
      </c>
      <c r="D31" s="5" t="s">
        <v>287</v>
      </c>
      <c r="E31" s="5" t="s">
        <v>16</v>
      </c>
      <c r="F31" s="7" t="s">
        <v>288</v>
      </c>
      <c r="G31" s="7" t="s">
        <v>289</v>
      </c>
      <c r="H31" s="5" t="s">
        <v>290</v>
      </c>
      <c r="I31" s="5" t="s">
        <v>291</v>
      </c>
      <c r="J31" s="5" t="s">
        <v>5</v>
      </c>
      <c r="K31" s="5" t="s">
        <v>32</v>
      </c>
      <c r="L31" s="5" t="s">
        <v>141</v>
      </c>
      <c r="M31" s="5" t="s">
        <v>292</v>
      </c>
    </row>
    <row r="32" ht="22.5" customHeight="1">
      <c r="A32" s="4">
        <v>46045.77937142361</v>
      </c>
      <c r="B32" s="5" t="s">
        <v>293</v>
      </c>
      <c r="C32" s="6" t="s">
        <v>294</v>
      </c>
      <c r="D32" s="5" t="s">
        <v>295</v>
      </c>
      <c r="E32" s="5" t="s">
        <v>47</v>
      </c>
      <c r="F32" s="7" t="s">
        <v>296</v>
      </c>
      <c r="G32" s="7" t="s">
        <v>297</v>
      </c>
      <c r="H32" s="5" t="s">
        <v>298</v>
      </c>
      <c r="I32" s="5" t="s">
        <v>299</v>
      </c>
      <c r="J32" s="5" t="s">
        <v>21</v>
      </c>
      <c r="K32" s="5" t="s">
        <v>122</v>
      </c>
      <c r="L32" s="5" t="s">
        <v>141</v>
      </c>
      <c r="M32" s="5" t="s">
        <v>112</v>
      </c>
    </row>
    <row r="33" ht="22.5" customHeight="1">
      <c r="A33" s="4">
        <v>46045.78106005787</v>
      </c>
      <c r="B33" s="5" t="s">
        <v>300</v>
      </c>
      <c r="C33" s="6" t="s">
        <v>301</v>
      </c>
      <c r="D33" s="5" t="s">
        <v>302</v>
      </c>
      <c r="E33" s="5" t="s">
        <v>16</v>
      </c>
      <c r="F33" s="7" t="s">
        <v>303</v>
      </c>
      <c r="G33" s="7" t="s">
        <v>304</v>
      </c>
      <c r="H33" s="5" t="s">
        <v>305</v>
      </c>
      <c r="I33" s="5" t="s">
        <v>306</v>
      </c>
      <c r="J33" s="5" t="s">
        <v>21</v>
      </c>
      <c r="K33" s="5" t="s">
        <v>22</v>
      </c>
      <c r="L33" s="5" t="s">
        <v>307</v>
      </c>
      <c r="M33" s="8" t="s">
        <v>308</v>
      </c>
    </row>
    <row r="34" ht="22.5" customHeight="1">
      <c r="A34" s="4">
        <v>46045.798217731484</v>
      </c>
      <c r="B34" s="5" t="s">
        <v>309</v>
      </c>
      <c r="C34" s="6" t="s">
        <v>310</v>
      </c>
      <c r="D34" s="5" t="s">
        <v>311</v>
      </c>
      <c r="E34" s="5" t="s">
        <v>16</v>
      </c>
      <c r="F34" s="7" t="s">
        <v>312</v>
      </c>
      <c r="G34" s="7" t="s">
        <v>313</v>
      </c>
      <c r="H34" s="5" t="s">
        <v>314</v>
      </c>
      <c r="I34" s="5" t="s">
        <v>315</v>
      </c>
      <c r="J34" s="5" t="s">
        <v>248</v>
      </c>
      <c r="K34" s="5" t="s">
        <v>32</v>
      </c>
      <c r="L34" s="5" t="s">
        <v>316</v>
      </c>
      <c r="M34" s="5" t="s">
        <v>317</v>
      </c>
    </row>
    <row r="35" ht="22.5" customHeight="1">
      <c r="A35" s="4">
        <v>46045.7983584375</v>
      </c>
      <c r="B35" s="5" t="s">
        <v>318</v>
      </c>
      <c r="C35" s="6" t="s">
        <v>319</v>
      </c>
      <c r="D35" s="5" t="s">
        <v>320</v>
      </c>
      <c r="E35" s="5" t="s">
        <v>47</v>
      </c>
      <c r="F35" s="7" t="s">
        <v>321</v>
      </c>
      <c r="G35" s="7" t="s">
        <v>322</v>
      </c>
      <c r="H35" s="5" t="s">
        <v>323</v>
      </c>
      <c r="I35" s="5" t="s">
        <v>324</v>
      </c>
      <c r="J35" s="5" t="s">
        <v>248</v>
      </c>
      <c r="K35" s="5" t="s">
        <v>32</v>
      </c>
      <c r="L35" s="5" t="s">
        <v>141</v>
      </c>
      <c r="M35" s="5" t="s">
        <v>73</v>
      </c>
    </row>
    <row r="36" ht="22.5" customHeight="1">
      <c r="A36" s="4">
        <v>46045.80042378472</v>
      </c>
      <c r="B36" s="5" t="s">
        <v>325</v>
      </c>
      <c r="C36" s="6" t="s">
        <v>326</v>
      </c>
      <c r="D36" s="5" t="s">
        <v>327</v>
      </c>
      <c r="E36" s="5" t="s">
        <v>16</v>
      </c>
      <c r="F36" s="7" t="s">
        <v>328</v>
      </c>
      <c r="G36" s="7" t="s">
        <v>329</v>
      </c>
      <c r="H36" s="5" t="s">
        <v>330</v>
      </c>
      <c r="I36" s="5" t="s">
        <v>331</v>
      </c>
      <c r="J36" s="5" t="s">
        <v>149</v>
      </c>
      <c r="K36" s="5" t="s">
        <v>22</v>
      </c>
      <c r="L36" s="5" t="s">
        <v>123</v>
      </c>
      <c r="M36" s="5" t="s">
        <v>250</v>
      </c>
    </row>
    <row r="37" ht="22.5" customHeight="1">
      <c r="A37" s="4">
        <v>46045.801818113425</v>
      </c>
      <c r="B37" s="5" t="s">
        <v>332</v>
      </c>
      <c r="C37" s="6" t="s">
        <v>333</v>
      </c>
      <c r="D37" s="5" t="s">
        <v>334</v>
      </c>
      <c r="E37" s="5" t="s">
        <v>16</v>
      </c>
      <c r="F37" s="5" t="s">
        <v>335</v>
      </c>
      <c r="G37" s="7" t="s">
        <v>336</v>
      </c>
      <c r="H37" s="5" t="s">
        <v>337</v>
      </c>
      <c r="I37" s="5" t="s">
        <v>338</v>
      </c>
      <c r="J37" s="5" t="s">
        <v>21</v>
      </c>
      <c r="K37" s="5" t="s">
        <v>122</v>
      </c>
      <c r="L37" s="5" t="s">
        <v>339</v>
      </c>
      <c r="M37" s="5" t="s">
        <v>34</v>
      </c>
    </row>
    <row r="38" ht="22.5" customHeight="1">
      <c r="A38" s="4">
        <v>46045.8100025</v>
      </c>
      <c r="B38" s="5" t="s">
        <v>340</v>
      </c>
      <c r="C38" s="6" t="s">
        <v>341</v>
      </c>
      <c r="D38" s="5" t="s">
        <v>342</v>
      </c>
      <c r="E38" s="5" t="s">
        <v>16</v>
      </c>
      <c r="F38" s="7" t="s">
        <v>343</v>
      </c>
      <c r="G38" s="7" t="s">
        <v>344</v>
      </c>
      <c r="H38" s="8" t="s">
        <v>345</v>
      </c>
      <c r="I38" s="8" t="s">
        <v>346</v>
      </c>
      <c r="J38" s="5" t="s">
        <v>21</v>
      </c>
      <c r="K38" s="5" t="s">
        <v>32</v>
      </c>
      <c r="L38" s="5" t="s">
        <v>141</v>
      </c>
      <c r="M38" s="8" t="s">
        <v>347</v>
      </c>
    </row>
    <row r="39" ht="22.5" customHeight="1">
      <c r="A39" s="4">
        <v>46045.8112549537</v>
      </c>
      <c r="B39" s="5" t="s">
        <v>348</v>
      </c>
      <c r="C39" s="6" t="s">
        <v>349</v>
      </c>
      <c r="D39" s="5" t="s">
        <v>350</v>
      </c>
      <c r="E39" s="5" t="s">
        <v>47</v>
      </c>
      <c r="F39" s="7" t="s">
        <v>351</v>
      </c>
      <c r="G39" s="7" t="s">
        <v>352</v>
      </c>
      <c r="H39" s="5" t="s">
        <v>353</v>
      </c>
      <c r="I39" s="5" t="s">
        <v>354</v>
      </c>
      <c r="J39" s="5" t="s">
        <v>355</v>
      </c>
      <c r="K39" s="5" t="s">
        <v>22</v>
      </c>
      <c r="L39" s="5" t="s">
        <v>356</v>
      </c>
      <c r="M39" s="5" t="s">
        <v>357</v>
      </c>
    </row>
    <row r="40" ht="22.5" customHeight="1">
      <c r="A40" s="4">
        <v>46045.81143043982</v>
      </c>
      <c r="B40" s="5" t="s">
        <v>358</v>
      </c>
      <c r="C40" s="5" t="s">
        <v>359</v>
      </c>
      <c r="D40" s="5" t="s">
        <v>360</v>
      </c>
      <c r="E40" s="5" t="s">
        <v>116</v>
      </c>
      <c r="F40" s="7" t="s">
        <v>361</v>
      </c>
      <c r="G40" s="7" t="s">
        <v>362</v>
      </c>
      <c r="H40" s="8" t="s">
        <v>363</v>
      </c>
      <c r="I40" s="8" t="s">
        <v>364</v>
      </c>
      <c r="J40" s="5" t="s">
        <v>365</v>
      </c>
      <c r="K40" s="5" t="s">
        <v>22</v>
      </c>
      <c r="L40" s="5" t="s">
        <v>91</v>
      </c>
      <c r="M40" s="5" t="s">
        <v>366</v>
      </c>
    </row>
    <row r="41" ht="22.5" customHeight="1">
      <c r="A41" s="4">
        <v>46045.81196827546</v>
      </c>
      <c r="B41" s="5" t="s">
        <v>367</v>
      </c>
      <c r="C41" s="6" t="s">
        <v>368</v>
      </c>
      <c r="D41" s="5" t="s">
        <v>369</v>
      </c>
      <c r="E41" s="5" t="s">
        <v>16</v>
      </c>
      <c r="F41" s="7" t="s">
        <v>370</v>
      </c>
      <c r="G41" s="7" t="s">
        <v>371</v>
      </c>
      <c r="H41" s="5" t="s">
        <v>372</v>
      </c>
      <c r="I41" s="5" t="s">
        <v>373</v>
      </c>
      <c r="J41" s="5" t="s">
        <v>149</v>
      </c>
      <c r="K41" s="5" t="s">
        <v>110</v>
      </c>
      <c r="L41" s="5" t="s">
        <v>91</v>
      </c>
      <c r="M41" s="5" t="s">
        <v>366</v>
      </c>
    </row>
    <row r="42" ht="22.5" customHeight="1">
      <c r="A42" s="4">
        <v>46045.81646538194</v>
      </c>
      <c r="B42" s="5" t="s">
        <v>374</v>
      </c>
      <c r="C42" s="5" t="s">
        <v>375</v>
      </c>
      <c r="D42" s="5" t="s">
        <v>376</v>
      </c>
      <c r="E42" s="5" t="s">
        <v>16</v>
      </c>
      <c r="F42" s="7" t="s">
        <v>377</v>
      </c>
      <c r="G42" s="7" t="s">
        <v>378</v>
      </c>
      <c r="H42" s="5" t="s">
        <v>379</v>
      </c>
      <c r="I42" s="5" t="s">
        <v>380</v>
      </c>
      <c r="J42" s="5" t="s">
        <v>149</v>
      </c>
      <c r="K42" s="5" t="s">
        <v>32</v>
      </c>
      <c r="L42" s="5" t="s">
        <v>381</v>
      </c>
      <c r="M42" s="5" t="s">
        <v>382</v>
      </c>
    </row>
    <row r="43" ht="22.5" customHeight="1">
      <c r="A43" s="4">
        <v>46045.819515104165</v>
      </c>
      <c r="B43" s="5" t="s">
        <v>383</v>
      </c>
      <c r="C43" s="6" t="s">
        <v>384</v>
      </c>
      <c r="D43" s="5" t="s">
        <v>385</v>
      </c>
      <c r="E43" s="5" t="s">
        <v>16</v>
      </c>
      <c r="F43" s="7" t="s">
        <v>386</v>
      </c>
      <c r="G43" s="7" t="s">
        <v>387</v>
      </c>
      <c r="H43" s="5" t="s">
        <v>388</v>
      </c>
      <c r="I43" s="5" t="s">
        <v>389</v>
      </c>
      <c r="J43" s="5" t="s">
        <v>390</v>
      </c>
      <c r="K43" s="5" t="s">
        <v>32</v>
      </c>
      <c r="L43" s="5" t="s">
        <v>123</v>
      </c>
      <c r="M43" s="5" t="s">
        <v>391</v>
      </c>
    </row>
    <row r="44" ht="22.5" customHeight="1">
      <c r="A44" s="4">
        <v>46045.821971666664</v>
      </c>
      <c r="B44" s="5" t="s">
        <v>392</v>
      </c>
      <c r="C44" s="6" t="s">
        <v>393</v>
      </c>
      <c r="D44" s="5" t="s">
        <v>394</v>
      </c>
      <c r="E44" s="5" t="s">
        <v>16</v>
      </c>
      <c r="F44" s="5" t="s">
        <v>395</v>
      </c>
      <c r="G44" s="7" t="s">
        <v>396</v>
      </c>
      <c r="H44" s="5" t="s">
        <v>397</v>
      </c>
      <c r="I44" s="5" t="s">
        <v>398</v>
      </c>
      <c r="J44" s="5" t="s">
        <v>21</v>
      </c>
      <c r="K44" s="5" t="s">
        <v>22</v>
      </c>
      <c r="L44" s="5" t="s">
        <v>399</v>
      </c>
      <c r="M44" s="5" t="s">
        <v>73</v>
      </c>
    </row>
    <row r="45" ht="22.5" customHeight="1">
      <c r="A45" s="4">
        <v>46045.8296315162</v>
      </c>
      <c r="B45" s="5" t="s">
        <v>400</v>
      </c>
      <c r="C45" s="6" t="s">
        <v>401</v>
      </c>
      <c r="D45" s="5" t="s">
        <v>402</v>
      </c>
      <c r="E45" s="5" t="s">
        <v>47</v>
      </c>
      <c r="F45" s="7" t="s">
        <v>403</v>
      </c>
      <c r="G45" s="7" t="s">
        <v>404</v>
      </c>
      <c r="H45" s="5" t="s">
        <v>405</v>
      </c>
      <c r="I45" s="5" t="s">
        <v>406</v>
      </c>
      <c r="J45" s="5" t="s">
        <v>407</v>
      </c>
      <c r="K45" s="5" t="s">
        <v>22</v>
      </c>
      <c r="L45" s="5" t="s">
        <v>408</v>
      </c>
      <c r="M45" s="5" t="s">
        <v>73</v>
      </c>
    </row>
    <row r="46" ht="22.5" customHeight="1">
      <c r="A46" s="4">
        <v>46045.84062422454</v>
      </c>
      <c r="B46" s="5" t="s">
        <v>409</v>
      </c>
      <c r="C46" s="6" t="s">
        <v>410</v>
      </c>
      <c r="D46" s="5" t="s">
        <v>411</v>
      </c>
      <c r="E46" s="5" t="s">
        <v>116</v>
      </c>
      <c r="F46" s="7" t="s">
        <v>412</v>
      </c>
      <c r="G46" s="7" t="s">
        <v>413</v>
      </c>
      <c r="H46" s="5" t="s">
        <v>414</v>
      </c>
      <c r="I46" s="5" t="s">
        <v>415</v>
      </c>
      <c r="J46" s="5" t="s">
        <v>416</v>
      </c>
      <c r="K46" s="5" t="s">
        <v>22</v>
      </c>
      <c r="L46" s="5" t="s">
        <v>123</v>
      </c>
      <c r="M46" s="5" t="s">
        <v>417</v>
      </c>
    </row>
    <row r="47" ht="22.5" customHeight="1">
      <c r="A47" s="4">
        <v>46045.852353622686</v>
      </c>
      <c r="B47" s="5" t="s">
        <v>418</v>
      </c>
      <c r="C47" s="6" t="s">
        <v>419</v>
      </c>
      <c r="D47" s="5" t="s">
        <v>420</v>
      </c>
      <c r="E47" s="5" t="s">
        <v>16</v>
      </c>
      <c r="F47" s="7" t="s">
        <v>421</v>
      </c>
      <c r="G47" s="7" t="s">
        <v>422</v>
      </c>
      <c r="H47" s="5" t="s">
        <v>423</v>
      </c>
      <c r="I47" s="5" t="s">
        <v>424</v>
      </c>
      <c r="J47" s="5" t="s">
        <v>149</v>
      </c>
      <c r="K47" s="5" t="s">
        <v>32</v>
      </c>
      <c r="L47" s="5" t="s">
        <v>425</v>
      </c>
      <c r="M47" s="5" t="s">
        <v>73</v>
      </c>
    </row>
    <row r="48" ht="22.5" customHeight="1">
      <c r="A48" s="4">
        <v>46045.853388414354</v>
      </c>
      <c r="B48" s="5" t="s">
        <v>426</v>
      </c>
      <c r="C48" s="6" t="s">
        <v>427</v>
      </c>
      <c r="D48" s="5" t="s">
        <v>428</v>
      </c>
      <c r="E48" s="5" t="s">
        <v>116</v>
      </c>
      <c r="F48" s="7" t="s">
        <v>429</v>
      </c>
      <c r="G48" s="7" t="s">
        <v>430</v>
      </c>
      <c r="H48" s="5" t="s">
        <v>431</v>
      </c>
      <c r="I48" s="5" t="s">
        <v>432</v>
      </c>
      <c r="J48" s="5" t="s">
        <v>248</v>
      </c>
      <c r="K48" s="5" t="s">
        <v>110</v>
      </c>
      <c r="L48" s="5" t="s">
        <v>123</v>
      </c>
      <c r="M48" s="5" t="s">
        <v>433</v>
      </c>
    </row>
    <row r="49" ht="22.5" customHeight="1">
      <c r="A49" s="4">
        <v>46045.85989503472</v>
      </c>
      <c r="B49" s="5" t="s">
        <v>434</v>
      </c>
      <c r="C49" s="6" t="s">
        <v>435</v>
      </c>
      <c r="D49" s="5" t="s">
        <v>436</v>
      </c>
      <c r="E49" s="5" t="s">
        <v>16</v>
      </c>
      <c r="F49" s="7" t="s">
        <v>437</v>
      </c>
      <c r="G49" s="7" t="s">
        <v>438</v>
      </c>
      <c r="H49" s="5" t="s">
        <v>439</v>
      </c>
      <c r="I49" s="5" t="s">
        <v>440</v>
      </c>
      <c r="J49" s="5" t="s">
        <v>31</v>
      </c>
      <c r="K49" s="5" t="s">
        <v>22</v>
      </c>
      <c r="L49" s="5" t="s">
        <v>441</v>
      </c>
      <c r="M49" s="5" t="s">
        <v>73</v>
      </c>
    </row>
    <row r="50" ht="22.5" customHeight="1">
      <c r="A50" s="4">
        <v>46045.86049010417</v>
      </c>
      <c r="B50" s="5" t="s">
        <v>442</v>
      </c>
      <c r="C50" s="5" t="s">
        <v>443</v>
      </c>
      <c r="D50" s="5" t="s">
        <v>444</v>
      </c>
      <c r="E50" s="5" t="s">
        <v>16</v>
      </c>
      <c r="F50" s="7" t="s">
        <v>445</v>
      </c>
      <c r="G50" s="7" t="s">
        <v>446</v>
      </c>
      <c r="H50" s="5" t="s">
        <v>447</v>
      </c>
      <c r="I50" s="5" t="s">
        <v>448</v>
      </c>
      <c r="J50" s="5" t="s">
        <v>149</v>
      </c>
      <c r="K50" s="5" t="s">
        <v>122</v>
      </c>
      <c r="L50" s="5" t="s">
        <v>449</v>
      </c>
      <c r="M50" s="5" t="s">
        <v>366</v>
      </c>
    </row>
    <row r="51" ht="22.5" customHeight="1">
      <c r="A51" s="4">
        <v>46045.862793761575</v>
      </c>
      <c r="B51" s="5" t="s">
        <v>450</v>
      </c>
      <c r="C51" s="6" t="s">
        <v>451</v>
      </c>
      <c r="D51" s="5" t="s">
        <v>452</v>
      </c>
      <c r="E51" s="5" t="s">
        <v>116</v>
      </c>
      <c r="F51" s="7" t="s">
        <v>453</v>
      </c>
      <c r="G51" s="7" t="s">
        <v>454</v>
      </c>
      <c r="H51" s="5" t="s">
        <v>455</v>
      </c>
      <c r="I51" s="5" t="s">
        <v>456</v>
      </c>
      <c r="J51" s="5" t="s">
        <v>457</v>
      </c>
      <c r="K51" s="5" t="s">
        <v>22</v>
      </c>
      <c r="L51" s="5" t="s">
        <v>123</v>
      </c>
      <c r="M51" s="5" t="s">
        <v>458</v>
      </c>
    </row>
    <row r="52" ht="22.5" customHeight="1">
      <c r="A52" s="4">
        <v>46045.86483709491</v>
      </c>
      <c r="B52" s="5" t="s">
        <v>459</v>
      </c>
      <c r="C52" s="6" t="s">
        <v>460</v>
      </c>
      <c r="D52" s="5" t="s">
        <v>461</v>
      </c>
      <c r="E52" s="5" t="s">
        <v>16</v>
      </c>
      <c r="F52" s="7" t="s">
        <v>462</v>
      </c>
      <c r="G52" s="7" t="s">
        <v>463</v>
      </c>
      <c r="H52" s="5" t="s">
        <v>464</v>
      </c>
      <c r="I52" s="5" t="s">
        <v>465</v>
      </c>
      <c r="J52" s="5" t="s">
        <v>5</v>
      </c>
      <c r="K52" s="5" t="s">
        <v>32</v>
      </c>
      <c r="L52" s="5" t="s">
        <v>123</v>
      </c>
      <c r="M52" s="5" t="s">
        <v>466</v>
      </c>
    </row>
    <row r="53" ht="22.5" customHeight="1">
      <c r="A53" s="4">
        <v>46045.86701782407</v>
      </c>
      <c r="B53" s="5" t="s">
        <v>467</v>
      </c>
      <c r="C53" s="6" t="s">
        <v>468</v>
      </c>
      <c r="D53" s="5" t="s">
        <v>469</v>
      </c>
      <c r="E53" s="5" t="s">
        <v>16</v>
      </c>
      <c r="F53" s="7" t="s">
        <v>470</v>
      </c>
      <c r="G53" s="7" t="s">
        <v>471</v>
      </c>
      <c r="H53" s="5" t="s">
        <v>472</v>
      </c>
      <c r="I53" s="5" t="s">
        <v>473</v>
      </c>
      <c r="J53" s="5" t="s">
        <v>474</v>
      </c>
      <c r="K53" s="5" t="s">
        <v>32</v>
      </c>
      <c r="L53" s="5" t="s">
        <v>475</v>
      </c>
      <c r="M53" s="5" t="s">
        <v>417</v>
      </c>
    </row>
    <row r="54" ht="22.5" customHeight="1">
      <c r="A54" s="4">
        <v>46045.87234259259</v>
      </c>
      <c r="B54" s="5" t="s">
        <v>476</v>
      </c>
      <c r="C54" s="6" t="s">
        <v>477</v>
      </c>
      <c r="D54" s="5" t="s">
        <v>478</v>
      </c>
      <c r="E54" s="5" t="s">
        <v>16</v>
      </c>
      <c r="F54" s="7" t="s">
        <v>479</v>
      </c>
      <c r="G54" s="7" t="s">
        <v>480</v>
      </c>
      <c r="H54" s="5" t="s">
        <v>481</v>
      </c>
      <c r="I54" s="5" t="s">
        <v>482</v>
      </c>
      <c r="J54" s="5" t="s">
        <v>483</v>
      </c>
      <c r="K54" s="5" t="s">
        <v>122</v>
      </c>
      <c r="L54" s="5" t="s">
        <v>484</v>
      </c>
      <c r="M54" s="5" t="s">
        <v>73</v>
      </c>
    </row>
    <row r="55" ht="22.5" customHeight="1">
      <c r="A55" s="4">
        <v>46045.87244868056</v>
      </c>
      <c r="B55" s="5" t="s">
        <v>485</v>
      </c>
      <c r="C55" s="6" t="s">
        <v>486</v>
      </c>
      <c r="D55" s="5" t="s">
        <v>487</v>
      </c>
      <c r="E55" s="5" t="s">
        <v>16</v>
      </c>
      <c r="F55" s="5" t="s">
        <v>488</v>
      </c>
      <c r="G55" s="7" t="s">
        <v>489</v>
      </c>
      <c r="H55" s="5" t="s">
        <v>490</v>
      </c>
      <c r="I55" s="5" t="s">
        <v>490</v>
      </c>
      <c r="J55" s="5" t="s">
        <v>21</v>
      </c>
      <c r="K55" s="5" t="s">
        <v>32</v>
      </c>
      <c r="L55" s="5" t="s">
        <v>491</v>
      </c>
      <c r="M55" s="5" t="s">
        <v>73</v>
      </c>
    </row>
    <row r="56" ht="22.5" customHeight="1">
      <c r="A56" s="4">
        <v>46045.87274146991</v>
      </c>
      <c r="B56" s="5" t="s">
        <v>492</v>
      </c>
      <c r="C56" s="6" t="s">
        <v>493</v>
      </c>
      <c r="D56" s="5" t="s">
        <v>494</v>
      </c>
      <c r="E56" s="5" t="s">
        <v>16</v>
      </c>
      <c r="F56" s="7" t="s">
        <v>495</v>
      </c>
      <c r="G56" s="7" t="s">
        <v>496</v>
      </c>
      <c r="H56" s="8" t="s">
        <v>497</v>
      </c>
      <c r="I56" s="8" t="s">
        <v>498</v>
      </c>
      <c r="J56" s="5" t="s">
        <v>499</v>
      </c>
      <c r="K56" s="5" t="s">
        <v>32</v>
      </c>
      <c r="L56" s="5" t="s">
        <v>91</v>
      </c>
      <c r="M56" s="8" t="s">
        <v>500</v>
      </c>
    </row>
    <row r="57" ht="22.5" customHeight="1">
      <c r="A57" s="4">
        <v>46045.87448042824</v>
      </c>
      <c r="B57" s="5" t="s">
        <v>501</v>
      </c>
      <c r="C57" s="6" t="s">
        <v>502</v>
      </c>
      <c r="D57" s="5" t="s">
        <v>503</v>
      </c>
      <c r="E57" s="5" t="s">
        <v>47</v>
      </c>
      <c r="F57" s="7" t="s">
        <v>504</v>
      </c>
      <c r="G57" s="7" t="s">
        <v>505</v>
      </c>
      <c r="H57" s="5" t="s">
        <v>506</v>
      </c>
      <c r="I57" s="5" t="s">
        <v>507</v>
      </c>
      <c r="J57" s="5" t="s">
        <v>508</v>
      </c>
      <c r="K57" s="5" t="s">
        <v>122</v>
      </c>
      <c r="L57" s="5" t="s">
        <v>509</v>
      </c>
      <c r="M57" s="5" t="s">
        <v>510</v>
      </c>
    </row>
    <row r="58" ht="22.5" customHeight="1">
      <c r="A58" s="4">
        <v>46045.87495697917</v>
      </c>
      <c r="B58" s="5" t="s">
        <v>511</v>
      </c>
      <c r="C58" s="6" t="s">
        <v>512</v>
      </c>
      <c r="D58" s="5" t="s">
        <v>513</v>
      </c>
      <c r="E58" s="5" t="s">
        <v>16</v>
      </c>
      <c r="F58" s="7" t="s">
        <v>514</v>
      </c>
      <c r="G58" s="7" t="s">
        <v>515</v>
      </c>
      <c r="H58" s="5" t="s">
        <v>516</v>
      </c>
      <c r="I58" s="5" t="s">
        <v>517</v>
      </c>
      <c r="J58" s="5" t="s">
        <v>149</v>
      </c>
      <c r="K58" s="5" t="s">
        <v>32</v>
      </c>
      <c r="L58" s="5" t="s">
        <v>518</v>
      </c>
      <c r="M58" s="5" t="s">
        <v>34</v>
      </c>
    </row>
    <row r="59" ht="22.5" customHeight="1">
      <c r="A59" s="4">
        <v>46045.880639675925</v>
      </c>
      <c r="B59" s="5" t="s">
        <v>519</v>
      </c>
      <c r="C59" s="6" t="s">
        <v>520</v>
      </c>
      <c r="D59" s="5" t="s">
        <v>521</v>
      </c>
      <c r="E59" s="5" t="s">
        <v>47</v>
      </c>
      <c r="F59" s="7" t="s">
        <v>522</v>
      </c>
      <c r="G59" s="7" t="s">
        <v>523</v>
      </c>
      <c r="H59" s="5" t="s">
        <v>524</v>
      </c>
      <c r="I59" s="5" t="s">
        <v>292</v>
      </c>
      <c r="J59" s="5" t="s">
        <v>21</v>
      </c>
      <c r="K59" s="5" t="s">
        <v>32</v>
      </c>
      <c r="L59" s="5" t="s">
        <v>141</v>
      </c>
      <c r="M59" s="5" t="s">
        <v>73</v>
      </c>
    </row>
    <row r="60" ht="22.5" customHeight="1">
      <c r="A60" s="4">
        <v>46045.88773451389</v>
      </c>
      <c r="B60" s="5" t="s">
        <v>525</v>
      </c>
      <c r="C60" s="6" t="s">
        <v>526</v>
      </c>
      <c r="D60" s="5" t="s">
        <v>527</v>
      </c>
      <c r="E60" s="5" t="s">
        <v>16</v>
      </c>
      <c r="F60" s="7" t="s">
        <v>528</v>
      </c>
      <c r="G60" s="7" t="s">
        <v>529</v>
      </c>
      <c r="H60" s="5" t="s">
        <v>530</v>
      </c>
      <c r="I60" s="5" t="s">
        <v>531</v>
      </c>
      <c r="J60" s="5" t="s">
        <v>176</v>
      </c>
      <c r="K60" s="5" t="s">
        <v>32</v>
      </c>
      <c r="L60" s="5" t="s">
        <v>532</v>
      </c>
      <c r="M60" s="5" t="s">
        <v>73</v>
      </c>
    </row>
    <row r="61" ht="22.5" customHeight="1">
      <c r="A61" s="4">
        <v>46045.89029972222</v>
      </c>
      <c r="B61" s="5" t="s">
        <v>533</v>
      </c>
      <c r="C61" s="6" t="s">
        <v>534</v>
      </c>
      <c r="D61" s="5" t="s">
        <v>535</v>
      </c>
      <c r="E61" s="5" t="s">
        <v>47</v>
      </c>
      <c r="F61" s="7" t="s">
        <v>536</v>
      </c>
      <c r="G61" s="7" t="s">
        <v>537</v>
      </c>
      <c r="H61" s="5" t="s">
        <v>538</v>
      </c>
      <c r="I61" s="5" t="s">
        <v>539</v>
      </c>
      <c r="J61" s="5" t="s">
        <v>540</v>
      </c>
      <c r="K61" s="5" t="s">
        <v>32</v>
      </c>
      <c r="L61" s="5" t="s">
        <v>141</v>
      </c>
      <c r="M61" s="5" t="s">
        <v>541</v>
      </c>
    </row>
    <row r="62" ht="22.5" customHeight="1">
      <c r="A62" s="4">
        <v>46045.89168327546</v>
      </c>
      <c r="B62" s="5" t="s">
        <v>542</v>
      </c>
      <c r="C62" s="6" t="s">
        <v>543</v>
      </c>
      <c r="D62" s="5" t="s">
        <v>544</v>
      </c>
      <c r="E62" s="5" t="s">
        <v>47</v>
      </c>
      <c r="F62" s="7" t="s">
        <v>545</v>
      </c>
      <c r="G62" s="7" t="s">
        <v>546</v>
      </c>
      <c r="H62" s="5" t="s">
        <v>547</v>
      </c>
      <c r="I62" s="5" t="s">
        <v>548</v>
      </c>
      <c r="J62" s="5" t="s">
        <v>549</v>
      </c>
      <c r="K62" s="5" t="s">
        <v>22</v>
      </c>
      <c r="L62" s="5" t="s">
        <v>52</v>
      </c>
      <c r="M62" s="5" t="s">
        <v>550</v>
      </c>
    </row>
    <row r="63" ht="22.5" customHeight="1">
      <c r="A63" s="4">
        <v>46045.89562461806</v>
      </c>
      <c r="B63" s="5" t="s">
        <v>551</v>
      </c>
      <c r="C63" s="6" t="s">
        <v>552</v>
      </c>
      <c r="D63" s="5" t="s">
        <v>553</v>
      </c>
      <c r="E63" s="5" t="s">
        <v>47</v>
      </c>
      <c r="F63" s="7" t="s">
        <v>554</v>
      </c>
      <c r="G63" s="7" t="s">
        <v>555</v>
      </c>
      <c r="H63" s="5" t="s">
        <v>556</v>
      </c>
      <c r="I63" s="5" t="s">
        <v>557</v>
      </c>
      <c r="J63" s="5" t="s">
        <v>31</v>
      </c>
      <c r="K63" s="5" t="s">
        <v>110</v>
      </c>
      <c r="L63" s="5" t="s">
        <v>72</v>
      </c>
      <c r="M63" s="5" t="s">
        <v>417</v>
      </c>
    </row>
    <row r="64" ht="22.5" customHeight="1">
      <c r="A64" s="4">
        <v>46045.89920954861</v>
      </c>
      <c r="B64" s="5" t="s">
        <v>558</v>
      </c>
      <c r="C64" s="5">
        <v>1.12672427E9</v>
      </c>
      <c r="D64" s="5" t="s">
        <v>559</v>
      </c>
      <c r="E64" s="5" t="s">
        <v>47</v>
      </c>
      <c r="F64" s="7" t="s">
        <v>560</v>
      </c>
      <c r="G64" s="7" t="s">
        <v>561</v>
      </c>
      <c r="H64" s="5" t="s">
        <v>562</v>
      </c>
      <c r="I64" s="5" t="s">
        <v>563</v>
      </c>
      <c r="J64" s="5" t="s">
        <v>564</v>
      </c>
      <c r="K64" s="5" t="s">
        <v>22</v>
      </c>
      <c r="L64" s="5" t="s">
        <v>259</v>
      </c>
      <c r="M64" s="5" t="s">
        <v>292</v>
      </c>
    </row>
    <row r="65" ht="22.5" customHeight="1">
      <c r="A65" s="4">
        <v>46045.913166342594</v>
      </c>
      <c r="B65" s="5" t="s">
        <v>565</v>
      </c>
      <c r="C65" s="6" t="s">
        <v>566</v>
      </c>
      <c r="D65" s="5" t="s">
        <v>567</v>
      </c>
      <c r="E65" s="5" t="s">
        <v>16</v>
      </c>
      <c r="F65" s="7" t="s">
        <v>568</v>
      </c>
      <c r="G65" s="7" t="s">
        <v>569</v>
      </c>
      <c r="H65" s="5" t="s">
        <v>570</v>
      </c>
      <c r="I65" s="5" t="s">
        <v>571</v>
      </c>
      <c r="J65" s="5" t="s">
        <v>5</v>
      </c>
      <c r="K65" s="5" t="s">
        <v>32</v>
      </c>
      <c r="L65" s="5" t="s">
        <v>572</v>
      </c>
      <c r="M65" s="5" t="s">
        <v>573</v>
      </c>
    </row>
    <row r="66" ht="22.5" customHeight="1">
      <c r="A66" s="4">
        <v>46045.917314907405</v>
      </c>
      <c r="B66" s="5" t="s">
        <v>574</v>
      </c>
      <c r="C66" s="6" t="s">
        <v>575</v>
      </c>
      <c r="D66" s="5" t="s">
        <v>576</v>
      </c>
      <c r="E66" s="5" t="s">
        <v>16</v>
      </c>
      <c r="F66" s="7" t="s">
        <v>577</v>
      </c>
      <c r="G66" s="7" t="s">
        <v>578</v>
      </c>
      <c r="H66" s="5" t="s">
        <v>579</v>
      </c>
      <c r="I66" s="5" t="s">
        <v>580</v>
      </c>
      <c r="J66" s="5" t="s">
        <v>581</v>
      </c>
      <c r="K66" s="5" t="s">
        <v>22</v>
      </c>
      <c r="L66" s="5" t="s">
        <v>316</v>
      </c>
      <c r="M66" s="5" t="s">
        <v>417</v>
      </c>
    </row>
    <row r="67" ht="22.5" customHeight="1">
      <c r="A67" s="4">
        <v>46045.930865243055</v>
      </c>
      <c r="B67" s="8" t="s">
        <v>582</v>
      </c>
      <c r="C67" s="6" t="s">
        <v>583</v>
      </c>
      <c r="D67" s="5" t="s">
        <v>584</v>
      </c>
      <c r="E67" s="5" t="s">
        <v>116</v>
      </c>
      <c r="F67" s="5" t="s">
        <v>585</v>
      </c>
      <c r="G67" s="7" t="s">
        <v>586</v>
      </c>
      <c r="H67" s="5" t="s">
        <v>587</v>
      </c>
      <c r="I67" s="5" t="s">
        <v>588</v>
      </c>
      <c r="J67" s="5" t="s">
        <v>589</v>
      </c>
      <c r="K67" s="5" t="s">
        <v>32</v>
      </c>
      <c r="L67" s="5" t="s">
        <v>590</v>
      </c>
      <c r="M67" s="5" t="s">
        <v>591</v>
      </c>
    </row>
    <row r="68" ht="22.5" customHeight="1">
      <c r="A68" s="4">
        <v>46045.934930752315</v>
      </c>
      <c r="B68" s="5" t="s">
        <v>592</v>
      </c>
      <c r="C68" s="6" t="s">
        <v>593</v>
      </c>
      <c r="D68" s="5" t="s">
        <v>594</v>
      </c>
      <c r="E68" s="5" t="s">
        <v>47</v>
      </c>
      <c r="F68" s="7" t="s">
        <v>595</v>
      </c>
      <c r="G68" s="7" t="s">
        <v>596</v>
      </c>
      <c r="H68" s="5" t="s">
        <v>597</v>
      </c>
      <c r="I68" s="5" t="s">
        <v>598</v>
      </c>
      <c r="J68" s="5" t="s">
        <v>581</v>
      </c>
      <c r="K68" s="5" t="s">
        <v>32</v>
      </c>
      <c r="L68" s="5" t="s">
        <v>123</v>
      </c>
      <c r="M68" s="5" t="s">
        <v>73</v>
      </c>
    </row>
    <row r="69" ht="22.5" customHeight="1">
      <c r="A69" s="4">
        <v>46045.93938509259</v>
      </c>
      <c r="B69" s="5" t="s">
        <v>599</v>
      </c>
      <c r="C69" s="6" t="s">
        <v>600</v>
      </c>
      <c r="D69" s="5" t="s">
        <v>601</v>
      </c>
      <c r="E69" s="5" t="s">
        <v>47</v>
      </c>
      <c r="F69" s="7" t="s">
        <v>602</v>
      </c>
      <c r="G69" s="7" t="s">
        <v>603</v>
      </c>
      <c r="H69" s="5" t="s">
        <v>604</v>
      </c>
      <c r="I69" s="5" t="s">
        <v>605</v>
      </c>
      <c r="J69" s="5" t="s">
        <v>606</v>
      </c>
      <c r="K69" s="5" t="s">
        <v>22</v>
      </c>
      <c r="L69" s="5" t="s">
        <v>123</v>
      </c>
      <c r="M69" s="8" t="s">
        <v>607</v>
      </c>
    </row>
    <row r="70" ht="22.5" customHeight="1">
      <c r="A70" s="4">
        <v>46045.95504443287</v>
      </c>
      <c r="B70" s="8" t="s">
        <v>608</v>
      </c>
      <c r="C70" s="6" t="s">
        <v>609</v>
      </c>
      <c r="D70" s="5" t="s">
        <v>610</v>
      </c>
      <c r="E70" s="5" t="s">
        <v>16</v>
      </c>
      <c r="F70" s="7" t="s">
        <v>611</v>
      </c>
      <c r="G70" s="7" t="s">
        <v>612</v>
      </c>
      <c r="H70" s="5" t="s">
        <v>613</v>
      </c>
      <c r="I70" s="5" t="s">
        <v>614</v>
      </c>
      <c r="J70" s="5" t="s">
        <v>149</v>
      </c>
      <c r="K70" s="5" t="s">
        <v>110</v>
      </c>
      <c r="L70" s="5" t="s">
        <v>615</v>
      </c>
      <c r="M70" s="5" t="s">
        <v>366</v>
      </c>
    </row>
    <row r="71" ht="22.5" customHeight="1">
      <c r="A71" s="4">
        <v>46045.95828090278</v>
      </c>
      <c r="B71" s="5" t="s">
        <v>616</v>
      </c>
      <c r="C71" s="6" t="s">
        <v>617</v>
      </c>
      <c r="D71" s="5" t="s">
        <v>618</v>
      </c>
      <c r="E71" s="5" t="s">
        <v>16</v>
      </c>
      <c r="F71" s="7" t="s">
        <v>619</v>
      </c>
      <c r="G71" s="7" t="s">
        <v>620</v>
      </c>
      <c r="H71" s="5" t="s">
        <v>621</v>
      </c>
      <c r="I71" s="5" t="s">
        <v>622</v>
      </c>
      <c r="J71" s="5" t="s">
        <v>355</v>
      </c>
      <c r="K71" s="5" t="s">
        <v>32</v>
      </c>
      <c r="L71" s="5" t="s">
        <v>623</v>
      </c>
      <c r="M71" s="5" t="s">
        <v>624</v>
      </c>
    </row>
    <row r="72" ht="22.5" customHeight="1">
      <c r="A72" s="4">
        <v>46045.959079050925</v>
      </c>
      <c r="B72" s="5" t="s">
        <v>625</v>
      </c>
      <c r="C72" s="6" t="s">
        <v>626</v>
      </c>
      <c r="D72" s="5" t="s">
        <v>627</v>
      </c>
      <c r="E72" s="5" t="s">
        <v>16</v>
      </c>
      <c r="F72" s="7" t="s">
        <v>628</v>
      </c>
      <c r="G72" s="7" t="s">
        <v>629</v>
      </c>
      <c r="H72" s="8" t="s">
        <v>630</v>
      </c>
      <c r="I72" s="8" t="s">
        <v>631</v>
      </c>
      <c r="J72" s="5" t="s">
        <v>632</v>
      </c>
      <c r="K72" s="5" t="s">
        <v>122</v>
      </c>
      <c r="L72" s="5" t="s">
        <v>187</v>
      </c>
      <c r="M72" s="8" t="s">
        <v>633</v>
      </c>
    </row>
    <row r="73" ht="22.5" customHeight="1">
      <c r="A73" s="4">
        <v>46045.96299701389</v>
      </c>
      <c r="B73" s="5" t="s">
        <v>634</v>
      </c>
      <c r="C73" s="6" t="s">
        <v>635</v>
      </c>
      <c r="D73" s="5" t="s">
        <v>636</v>
      </c>
      <c r="E73" s="5" t="s">
        <v>47</v>
      </c>
      <c r="F73" s="7" t="s">
        <v>637</v>
      </c>
      <c r="G73" s="7" t="s">
        <v>638</v>
      </c>
      <c r="H73" s="5" t="s">
        <v>639</v>
      </c>
      <c r="I73" s="5" t="s">
        <v>640</v>
      </c>
      <c r="J73" s="5" t="s">
        <v>641</v>
      </c>
      <c r="K73" s="5" t="s">
        <v>32</v>
      </c>
      <c r="L73" s="5" t="s">
        <v>642</v>
      </c>
      <c r="M73" s="5" t="s">
        <v>643</v>
      </c>
    </row>
    <row r="74" ht="22.5" customHeight="1">
      <c r="A74" s="4">
        <v>46045.96350471065</v>
      </c>
      <c r="B74" s="5" t="s">
        <v>644</v>
      </c>
      <c r="C74" s="6" t="s">
        <v>645</v>
      </c>
      <c r="D74" s="5" t="s">
        <v>646</v>
      </c>
      <c r="E74" s="5" t="s">
        <v>16</v>
      </c>
      <c r="F74" s="7" t="s">
        <v>647</v>
      </c>
      <c r="G74" s="7" t="s">
        <v>648</v>
      </c>
      <c r="H74" s="5" t="s">
        <v>649</v>
      </c>
      <c r="I74" s="5" t="s">
        <v>650</v>
      </c>
      <c r="J74" s="5" t="s">
        <v>651</v>
      </c>
      <c r="K74" s="5" t="s">
        <v>122</v>
      </c>
      <c r="L74" s="5" t="s">
        <v>123</v>
      </c>
      <c r="M74" s="5" t="s">
        <v>652</v>
      </c>
    </row>
    <row r="75" ht="22.5" customHeight="1">
      <c r="A75" s="4">
        <v>46045.96519956019</v>
      </c>
      <c r="B75" s="5" t="s">
        <v>653</v>
      </c>
      <c r="C75" s="6" t="s">
        <v>654</v>
      </c>
      <c r="D75" s="5" t="s">
        <v>655</v>
      </c>
      <c r="E75" s="5" t="s">
        <v>47</v>
      </c>
      <c r="F75" s="7" t="s">
        <v>656</v>
      </c>
      <c r="G75" s="7" t="s">
        <v>657</v>
      </c>
      <c r="H75" s="5" t="s">
        <v>658</v>
      </c>
      <c r="I75" s="5" t="s">
        <v>659</v>
      </c>
      <c r="J75" s="5" t="s">
        <v>581</v>
      </c>
      <c r="K75" s="5" t="s">
        <v>22</v>
      </c>
      <c r="L75" s="5" t="s">
        <v>123</v>
      </c>
      <c r="M75" s="5" t="s">
        <v>660</v>
      </c>
    </row>
    <row r="76" ht="22.5" customHeight="1">
      <c r="A76" s="4">
        <v>46045.966088229165</v>
      </c>
      <c r="B76" s="5" t="s">
        <v>661</v>
      </c>
      <c r="C76" s="6" t="s">
        <v>662</v>
      </c>
      <c r="D76" s="5" t="s">
        <v>663</v>
      </c>
      <c r="E76" s="5" t="s">
        <v>16</v>
      </c>
      <c r="F76" s="7" t="s">
        <v>664</v>
      </c>
      <c r="G76" s="7" t="s">
        <v>665</v>
      </c>
      <c r="H76" s="5" t="s">
        <v>666</v>
      </c>
      <c r="I76" s="5" t="s">
        <v>667</v>
      </c>
      <c r="J76" s="5" t="s">
        <v>149</v>
      </c>
      <c r="K76" s="5" t="s">
        <v>32</v>
      </c>
      <c r="L76" s="5" t="s">
        <v>123</v>
      </c>
      <c r="M76" s="5" t="s">
        <v>573</v>
      </c>
    </row>
    <row r="77" ht="22.5" customHeight="1">
      <c r="A77" s="4">
        <v>46045.98751245371</v>
      </c>
      <c r="B77" s="5" t="s">
        <v>668</v>
      </c>
      <c r="C77" s="6" t="s">
        <v>669</v>
      </c>
      <c r="D77" s="5" t="s">
        <v>670</v>
      </c>
      <c r="E77" s="5" t="s">
        <v>16</v>
      </c>
      <c r="F77" s="7" t="s">
        <v>671</v>
      </c>
      <c r="G77" s="7" t="s">
        <v>672</v>
      </c>
      <c r="H77" s="8" t="s">
        <v>673</v>
      </c>
      <c r="I77" s="8" t="s">
        <v>674</v>
      </c>
      <c r="J77" s="5" t="s">
        <v>675</v>
      </c>
      <c r="K77" s="5" t="s">
        <v>122</v>
      </c>
      <c r="L77" s="5" t="s">
        <v>123</v>
      </c>
      <c r="M77" s="8" t="s">
        <v>676</v>
      </c>
    </row>
    <row r="78" ht="22.5" customHeight="1">
      <c r="A78" s="4">
        <v>46045.9885546875</v>
      </c>
      <c r="B78" s="5" t="s">
        <v>677</v>
      </c>
      <c r="C78" s="6" t="s">
        <v>678</v>
      </c>
      <c r="D78" s="5" t="s">
        <v>679</v>
      </c>
      <c r="E78" s="5" t="s">
        <v>16</v>
      </c>
      <c r="F78" s="7" t="s">
        <v>680</v>
      </c>
      <c r="G78" s="7" t="s">
        <v>681</v>
      </c>
      <c r="H78" s="5" t="s">
        <v>682</v>
      </c>
      <c r="I78" s="5" t="s">
        <v>683</v>
      </c>
      <c r="J78" s="5" t="s">
        <v>581</v>
      </c>
      <c r="K78" s="5" t="s">
        <v>22</v>
      </c>
      <c r="L78" s="5" t="s">
        <v>684</v>
      </c>
      <c r="M78" s="5" t="s">
        <v>366</v>
      </c>
    </row>
    <row r="79" ht="22.5" customHeight="1">
      <c r="A79" s="4">
        <v>46045.989998460645</v>
      </c>
      <c r="B79" s="5" t="s">
        <v>668</v>
      </c>
      <c r="C79" s="6" t="s">
        <v>669</v>
      </c>
      <c r="D79" s="5" t="s">
        <v>670</v>
      </c>
      <c r="E79" s="5" t="s">
        <v>16</v>
      </c>
      <c r="F79" s="7" t="s">
        <v>671</v>
      </c>
      <c r="G79" s="7" t="s">
        <v>685</v>
      </c>
      <c r="H79" s="8" t="s">
        <v>686</v>
      </c>
      <c r="I79" s="8" t="s">
        <v>687</v>
      </c>
      <c r="J79" s="5" t="s">
        <v>688</v>
      </c>
      <c r="K79" s="5" t="s">
        <v>122</v>
      </c>
      <c r="L79" s="5" t="s">
        <v>123</v>
      </c>
      <c r="M79" s="8" t="s">
        <v>689</v>
      </c>
    </row>
    <row r="80" ht="22.5" customHeight="1">
      <c r="A80" s="4">
        <v>46045.992815439815</v>
      </c>
      <c r="B80" s="5" t="s">
        <v>690</v>
      </c>
      <c r="C80" s="6" t="s">
        <v>691</v>
      </c>
      <c r="D80" s="5" t="s">
        <v>692</v>
      </c>
      <c r="E80" s="5" t="s">
        <v>16</v>
      </c>
      <c r="F80" s="7" t="s">
        <v>693</v>
      </c>
      <c r="G80" s="7" t="s">
        <v>694</v>
      </c>
      <c r="H80" s="5" t="s">
        <v>695</v>
      </c>
      <c r="I80" s="5" t="s">
        <v>696</v>
      </c>
      <c r="J80" s="5" t="s">
        <v>697</v>
      </c>
      <c r="K80" s="5" t="s">
        <v>32</v>
      </c>
      <c r="L80" s="5" t="s">
        <v>698</v>
      </c>
      <c r="M80" s="5" t="s">
        <v>541</v>
      </c>
    </row>
    <row r="81" ht="22.5" customHeight="1">
      <c r="A81" s="4">
        <v>46045.99728549768</v>
      </c>
      <c r="B81" s="5" t="s">
        <v>699</v>
      </c>
      <c r="C81" s="6" t="s">
        <v>700</v>
      </c>
      <c r="D81" s="5" t="s">
        <v>701</v>
      </c>
      <c r="E81" s="5" t="s">
        <v>47</v>
      </c>
      <c r="F81" s="7" t="s">
        <v>702</v>
      </c>
      <c r="G81" s="7" t="s">
        <v>703</v>
      </c>
      <c r="H81" s="5" t="s">
        <v>704</v>
      </c>
      <c r="I81" s="5" t="s">
        <v>705</v>
      </c>
      <c r="J81" s="5" t="s">
        <v>706</v>
      </c>
      <c r="K81" s="5" t="s">
        <v>32</v>
      </c>
      <c r="L81" s="5" t="s">
        <v>141</v>
      </c>
      <c r="M81" s="5" t="s">
        <v>707</v>
      </c>
    </row>
    <row r="82" ht="22.5" customHeight="1">
      <c r="A82" s="4">
        <v>46045.9992175</v>
      </c>
      <c r="B82" s="8" t="s">
        <v>708</v>
      </c>
      <c r="C82" s="6" t="s">
        <v>709</v>
      </c>
      <c r="D82" s="5" t="s">
        <v>710</v>
      </c>
      <c r="E82" s="5" t="s">
        <v>16</v>
      </c>
      <c r="F82" s="7" t="s">
        <v>711</v>
      </c>
      <c r="G82" s="7" t="s">
        <v>712</v>
      </c>
      <c r="H82" s="8" t="s">
        <v>713</v>
      </c>
      <c r="I82" s="8" t="s">
        <v>714</v>
      </c>
      <c r="J82" s="8" t="s">
        <v>715</v>
      </c>
      <c r="K82" s="5" t="s">
        <v>32</v>
      </c>
      <c r="L82" s="5" t="s">
        <v>716</v>
      </c>
      <c r="M82" s="8" t="s">
        <v>717</v>
      </c>
    </row>
    <row r="83" ht="22.5" customHeight="1">
      <c r="A83" s="4">
        <v>46045.99946125</v>
      </c>
      <c r="B83" s="5" t="s">
        <v>718</v>
      </c>
      <c r="C83" s="6" t="s">
        <v>719</v>
      </c>
      <c r="D83" s="5" t="s">
        <v>720</v>
      </c>
      <c r="E83" s="5" t="s">
        <v>16</v>
      </c>
      <c r="F83" s="7" t="s">
        <v>721</v>
      </c>
      <c r="G83" s="7" t="s">
        <v>722</v>
      </c>
      <c r="H83" s="5" t="s">
        <v>723</v>
      </c>
      <c r="I83" s="5" t="s">
        <v>724</v>
      </c>
      <c r="J83" s="5" t="s">
        <v>725</v>
      </c>
      <c r="K83" s="5" t="s">
        <v>32</v>
      </c>
      <c r="L83" s="5" t="s">
        <v>726</v>
      </c>
      <c r="M83" s="5" t="s">
        <v>727</v>
      </c>
    </row>
    <row r="84" ht="22.5" customHeight="1">
      <c r="A84" s="4">
        <v>46046.00105324074</v>
      </c>
      <c r="B84" s="5" t="s">
        <v>728</v>
      </c>
      <c r="C84" s="6" t="s">
        <v>729</v>
      </c>
      <c r="D84" s="5" t="s">
        <v>730</v>
      </c>
      <c r="E84" s="5" t="s">
        <v>16</v>
      </c>
      <c r="F84" s="7" t="s">
        <v>731</v>
      </c>
      <c r="G84" s="7" t="s">
        <v>732</v>
      </c>
      <c r="H84" s="5" t="s">
        <v>733</v>
      </c>
      <c r="I84" s="5" t="s">
        <v>734</v>
      </c>
      <c r="J84" s="5" t="s">
        <v>735</v>
      </c>
      <c r="K84" s="5" t="s">
        <v>22</v>
      </c>
      <c r="L84" s="5" t="s">
        <v>736</v>
      </c>
      <c r="M84" s="5" t="s">
        <v>737</v>
      </c>
    </row>
    <row r="85" ht="22.5" customHeight="1">
      <c r="A85" s="4">
        <v>46046.00659451389</v>
      </c>
      <c r="B85" s="5" t="s">
        <v>738</v>
      </c>
      <c r="C85" s="6" t="s">
        <v>739</v>
      </c>
      <c r="D85" s="5" t="s">
        <v>740</v>
      </c>
      <c r="E85" s="5" t="s">
        <v>47</v>
      </c>
      <c r="F85" s="7" t="s">
        <v>741</v>
      </c>
      <c r="G85" s="7" t="s">
        <v>742</v>
      </c>
      <c r="H85" s="5" t="s">
        <v>743</v>
      </c>
      <c r="I85" s="5" t="s">
        <v>744</v>
      </c>
      <c r="J85" s="5" t="s">
        <v>745</v>
      </c>
      <c r="K85" s="5" t="s">
        <v>122</v>
      </c>
      <c r="L85" s="5" t="s">
        <v>746</v>
      </c>
      <c r="M85" s="5" t="s">
        <v>747</v>
      </c>
    </row>
    <row r="86" ht="22.5" customHeight="1">
      <c r="A86" s="4">
        <v>46046.012828182866</v>
      </c>
      <c r="B86" s="5" t="s">
        <v>748</v>
      </c>
      <c r="C86" s="5">
        <v>1.098799596E9</v>
      </c>
      <c r="D86" s="5" t="s">
        <v>749</v>
      </c>
      <c r="E86" s="5" t="s">
        <v>16</v>
      </c>
      <c r="F86" s="7" t="s">
        <v>750</v>
      </c>
      <c r="G86" s="7" t="s">
        <v>751</v>
      </c>
      <c r="H86" s="5" t="s">
        <v>752</v>
      </c>
      <c r="I86" s="5" t="s">
        <v>753</v>
      </c>
      <c r="J86" s="5" t="s">
        <v>31</v>
      </c>
      <c r="K86" s="5" t="s">
        <v>32</v>
      </c>
      <c r="L86" s="5" t="s">
        <v>754</v>
      </c>
      <c r="M86" s="5" t="s">
        <v>250</v>
      </c>
    </row>
    <row r="87" ht="22.5" customHeight="1">
      <c r="A87" s="4">
        <v>46046.01503784722</v>
      </c>
      <c r="B87" s="5" t="s">
        <v>755</v>
      </c>
      <c r="C87" s="6" t="s">
        <v>756</v>
      </c>
      <c r="D87" s="5" t="s">
        <v>757</v>
      </c>
      <c r="E87" s="5" t="s">
        <v>47</v>
      </c>
      <c r="F87" s="7" t="s">
        <v>758</v>
      </c>
      <c r="G87" s="7" t="s">
        <v>759</v>
      </c>
      <c r="H87" s="5" t="s">
        <v>760</v>
      </c>
      <c r="I87" s="5" t="s">
        <v>761</v>
      </c>
      <c r="J87" s="5" t="s">
        <v>31</v>
      </c>
      <c r="K87" s="5" t="s">
        <v>32</v>
      </c>
      <c r="L87" s="5" t="s">
        <v>762</v>
      </c>
      <c r="M87" s="5" t="s">
        <v>763</v>
      </c>
    </row>
    <row r="88" ht="22.5" customHeight="1">
      <c r="A88" s="4">
        <v>46046.04429571759</v>
      </c>
      <c r="B88" s="5" t="s">
        <v>764</v>
      </c>
      <c r="C88" s="6" t="s">
        <v>765</v>
      </c>
      <c r="D88" s="5" t="s">
        <v>766</v>
      </c>
      <c r="E88" s="5" t="s">
        <v>47</v>
      </c>
      <c r="F88" s="7" t="s">
        <v>767</v>
      </c>
      <c r="G88" s="7" t="s">
        <v>768</v>
      </c>
      <c r="H88" s="5" t="s">
        <v>769</v>
      </c>
      <c r="I88" s="5" t="s">
        <v>770</v>
      </c>
      <c r="J88" s="5" t="s">
        <v>21</v>
      </c>
      <c r="K88" s="5" t="s">
        <v>32</v>
      </c>
      <c r="L88" s="5" t="s">
        <v>771</v>
      </c>
      <c r="M88" s="5" t="s">
        <v>366</v>
      </c>
    </row>
    <row r="89" ht="22.5" customHeight="1">
      <c r="A89" s="4">
        <v>46046.056448194446</v>
      </c>
      <c r="B89" s="5" t="s">
        <v>772</v>
      </c>
      <c r="C89" s="6" t="s">
        <v>773</v>
      </c>
      <c r="D89" s="5" t="s">
        <v>774</v>
      </c>
      <c r="E89" s="5" t="s">
        <v>47</v>
      </c>
      <c r="F89" s="7" t="s">
        <v>775</v>
      </c>
      <c r="G89" s="7" t="s">
        <v>776</v>
      </c>
      <c r="H89" s="5" t="s">
        <v>777</v>
      </c>
      <c r="I89" s="5" t="s">
        <v>778</v>
      </c>
      <c r="J89" s="5" t="s">
        <v>149</v>
      </c>
      <c r="K89" s="5" t="s">
        <v>22</v>
      </c>
      <c r="L89" s="5" t="s">
        <v>779</v>
      </c>
      <c r="M89" s="5" t="s">
        <v>780</v>
      </c>
    </row>
    <row r="90" ht="22.5" customHeight="1">
      <c r="A90" s="4">
        <v>46046.074186770835</v>
      </c>
      <c r="B90" s="5" t="s">
        <v>781</v>
      </c>
      <c r="C90" s="6" t="s">
        <v>782</v>
      </c>
      <c r="D90" s="5" t="s">
        <v>783</v>
      </c>
      <c r="E90" s="5" t="s">
        <v>47</v>
      </c>
      <c r="F90" s="7" t="s">
        <v>784</v>
      </c>
      <c r="G90" s="7" t="s">
        <v>785</v>
      </c>
      <c r="H90" s="5" t="s">
        <v>786</v>
      </c>
      <c r="I90" s="5" t="s">
        <v>787</v>
      </c>
      <c r="J90" s="5" t="s">
        <v>788</v>
      </c>
      <c r="K90" s="5" t="s">
        <v>22</v>
      </c>
      <c r="L90" s="5" t="s">
        <v>789</v>
      </c>
      <c r="M90" s="5" t="s">
        <v>790</v>
      </c>
    </row>
    <row r="91" ht="22.5" customHeight="1">
      <c r="A91" s="4">
        <v>46046.0770709375</v>
      </c>
      <c r="B91" s="5" t="s">
        <v>791</v>
      </c>
      <c r="C91" s="6" t="s">
        <v>792</v>
      </c>
      <c r="D91" s="5" t="s">
        <v>793</v>
      </c>
      <c r="E91" s="5" t="s">
        <v>16</v>
      </c>
      <c r="F91" s="7" t="s">
        <v>794</v>
      </c>
      <c r="G91" s="7" t="s">
        <v>795</v>
      </c>
      <c r="H91" s="5" t="s">
        <v>796</v>
      </c>
      <c r="I91" s="5" t="s">
        <v>797</v>
      </c>
      <c r="J91" s="5" t="s">
        <v>355</v>
      </c>
      <c r="K91" s="5" t="s">
        <v>22</v>
      </c>
      <c r="L91" s="5" t="s">
        <v>698</v>
      </c>
      <c r="M91" s="5" t="s">
        <v>73</v>
      </c>
    </row>
    <row r="92" ht="22.5" customHeight="1">
      <c r="A92" s="4">
        <v>46046.08210605324</v>
      </c>
      <c r="B92" s="5" t="s">
        <v>798</v>
      </c>
      <c r="C92" s="6" t="s">
        <v>799</v>
      </c>
      <c r="D92" s="5" t="s">
        <v>800</v>
      </c>
      <c r="E92" s="5" t="s">
        <v>16</v>
      </c>
      <c r="F92" s="7" t="s">
        <v>801</v>
      </c>
      <c r="G92" s="7" t="s">
        <v>802</v>
      </c>
      <c r="H92" s="5" t="s">
        <v>803</v>
      </c>
      <c r="I92" s="5" t="s">
        <v>804</v>
      </c>
      <c r="J92" s="5" t="s">
        <v>149</v>
      </c>
      <c r="K92" s="5" t="s">
        <v>22</v>
      </c>
      <c r="L92" s="5" t="s">
        <v>805</v>
      </c>
      <c r="M92" s="5" t="s">
        <v>73</v>
      </c>
    </row>
    <row r="93" ht="22.5" customHeight="1">
      <c r="A93" s="4">
        <v>46046.088196909725</v>
      </c>
      <c r="B93" s="5" t="s">
        <v>806</v>
      </c>
      <c r="C93" s="5" t="s">
        <v>807</v>
      </c>
      <c r="D93" s="5" t="s">
        <v>808</v>
      </c>
      <c r="E93" s="5" t="s">
        <v>16</v>
      </c>
      <c r="F93" s="7" t="s">
        <v>809</v>
      </c>
      <c r="G93" s="7" t="s">
        <v>810</v>
      </c>
      <c r="H93" s="5" t="s">
        <v>811</v>
      </c>
      <c r="I93" s="5" t="s">
        <v>812</v>
      </c>
      <c r="J93" s="5" t="s">
        <v>5</v>
      </c>
      <c r="K93" s="5" t="s">
        <v>22</v>
      </c>
      <c r="L93" s="5" t="s">
        <v>141</v>
      </c>
      <c r="M93" s="5" t="s">
        <v>813</v>
      </c>
    </row>
    <row r="94" ht="22.5" customHeight="1">
      <c r="A94" s="4">
        <v>46046.09501722222</v>
      </c>
      <c r="B94" s="5" t="s">
        <v>814</v>
      </c>
      <c r="C94" s="6" t="s">
        <v>815</v>
      </c>
      <c r="D94" s="5" t="s">
        <v>816</v>
      </c>
      <c r="E94" s="5" t="s">
        <v>47</v>
      </c>
      <c r="F94" s="7" t="s">
        <v>817</v>
      </c>
      <c r="G94" s="7" t="s">
        <v>818</v>
      </c>
      <c r="H94" s="5" t="s">
        <v>819</v>
      </c>
      <c r="I94" s="5" t="s">
        <v>820</v>
      </c>
      <c r="J94" s="5" t="s">
        <v>821</v>
      </c>
      <c r="K94" s="5" t="s">
        <v>22</v>
      </c>
      <c r="L94" s="5" t="s">
        <v>822</v>
      </c>
      <c r="M94" s="5" t="s">
        <v>573</v>
      </c>
    </row>
    <row r="95" ht="22.5" customHeight="1">
      <c r="A95" s="4">
        <v>46046.10585928241</v>
      </c>
      <c r="B95" s="5" t="s">
        <v>823</v>
      </c>
      <c r="C95" s="6" t="s">
        <v>824</v>
      </c>
      <c r="D95" s="5" t="s">
        <v>825</v>
      </c>
      <c r="E95" s="5" t="s">
        <v>16</v>
      </c>
      <c r="F95" s="7" t="s">
        <v>826</v>
      </c>
      <c r="G95" s="7" t="s">
        <v>827</v>
      </c>
      <c r="H95" s="5" t="s">
        <v>828</v>
      </c>
      <c r="I95" s="5" t="s">
        <v>829</v>
      </c>
      <c r="J95" s="5" t="s">
        <v>355</v>
      </c>
      <c r="K95" s="5" t="s">
        <v>22</v>
      </c>
      <c r="L95" s="5" t="s">
        <v>123</v>
      </c>
      <c r="M95" s="5" t="s">
        <v>830</v>
      </c>
    </row>
    <row r="96" ht="22.5" customHeight="1">
      <c r="A96" s="4">
        <v>46046.12270129629</v>
      </c>
      <c r="B96" s="5" t="s">
        <v>831</v>
      </c>
      <c r="C96" s="6" t="s">
        <v>832</v>
      </c>
      <c r="D96" s="5" t="s">
        <v>833</v>
      </c>
      <c r="E96" s="5" t="s">
        <v>16</v>
      </c>
      <c r="F96" s="7" t="s">
        <v>834</v>
      </c>
      <c r="G96" s="7" t="s">
        <v>835</v>
      </c>
      <c r="H96" s="5" t="s">
        <v>836</v>
      </c>
      <c r="I96" s="5" t="s">
        <v>837</v>
      </c>
      <c r="J96" s="5" t="s">
        <v>838</v>
      </c>
      <c r="K96" s="5" t="s">
        <v>32</v>
      </c>
      <c r="L96" s="5" t="s">
        <v>123</v>
      </c>
      <c r="M96" s="5" t="s">
        <v>839</v>
      </c>
    </row>
    <row r="97" ht="22.5" customHeight="1">
      <c r="A97" s="4">
        <v>46046.123322824074</v>
      </c>
      <c r="B97" s="5" t="s">
        <v>840</v>
      </c>
      <c r="C97" s="6" t="s">
        <v>841</v>
      </c>
      <c r="D97" s="5" t="s">
        <v>842</v>
      </c>
      <c r="E97" s="5" t="s">
        <v>47</v>
      </c>
      <c r="F97" s="7" t="s">
        <v>843</v>
      </c>
      <c r="G97" s="7" t="s">
        <v>844</v>
      </c>
      <c r="H97" s="8" t="s">
        <v>845</v>
      </c>
      <c r="I97" s="8" t="s">
        <v>846</v>
      </c>
      <c r="J97" s="5" t="s">
        <v>581</v>
      </c>
      <c r="K97" s="5" t="s">
        <v>22</v>
      </c>
      <c r="L97" s="5" t="s">
        <v>847</v>
      </c>
      <c r="M97" s="8" t="s">
        <v>848</v>
      </c>
    </row>
    <row r="98" ht="22.5" customHeight="1">
      <c r="A98" s="4">
        <v>46046.12948297454</v>
      </c>
      <c r="B98" s="5" t="s">
        <v>849</v>
      </c>
      <c r="C98" s="6" t="s">
        <v>850</v>
      </c>
      <c r="D98" s="5" t="s">
        <v>851</v>
      </c>
      <c r="E98" s="5" t="s">
        <v>16</v>
      </c>
      <c r="F98" s="7" t="s">
        <v>852</v>
      </c>
      <c r="G98" s="7" t="s">
        <v>853</v>
      </c>
      <c r="H98" s="5" t="s">
        <v>854</v>
      </c>
      <c r="I98" s="5" t="s">
        <v>855</v>
      </c>
      <c r="J98" s="5" t="s">
        <v>355</v>
      </c>
      <c r="K98" s="5" t="s">
        <v>122</v>
      </c>
      <c r="L98" s="5" t="s">
        <v>623</v>
      </c>
      <c r="M98" s="5" t="s">
        <v>34</v>
      </c>
    </row>
    <row r="99" ht="22.5" customHeight="1">
      <c r="A99" s="4">
        <v>46046.129718020835</v>
      </c>
      <c r="B99" s="5" t="s">
        <v>856</v>
      </c>
      <c r="C99" s="6" t="s">
        <v>857</v>
      </c>
      <c r="D99" s="5" t="s">
        <v>858</v>
      </c>
      <c r="E99" s="5" t="s">
        <v>16</v>
      </c>
      <c r="F99" s="7" t="s">
        <v>859</v>
      </c>
      <c r="G99" s="7" t="s">
        <v>860</v>
      </c>
      <c r="H99" s="5" t="s">
        <v>861</v>
      </c>
      <c r="I99" s="5" t="s">
        <v>862</v>
      </c>
      <c r="J99" s="5" t="s">
        <v>863</v>
      </c>
      <c r="K99" s="5" t="s">
        <v>22</v>
      </c>
      <c r="L99" s="5" t="s">
        <v>864</v>
      </c>
      <c r="M99" s="5" t="s">
        <v>292</v>
      </c>
    </row>
    <row r="100" ht="22.5" customHeight="1">
      <c r="A100" s="4">
        <v>46046.16092570602</v>
      </c>
      <c r="B100" s="5" t="s">
        <v>865</v>
      </c>
      <c r="C100" s="6" t="s">
        <v>866</v>
      </c>
      <c r="D100" s="5" t="s">
        <v>867</v>
      </c>
      <c r="E100" s="5" t="s">
        <v>116</v>
      </c>
      <c r="F100" s="7" t="s">
        <v>868</v>
      </c>
      <c r="G100" s="7" t="s">
        <v>869</v>
      </c>
      <c r="H100" s="5" t="s">
        <v>870</v>
      </c>
      <c r="I100" s="5" t="s">
        <v>871</v>
      </c>
      <c r="J100" s="5" t="s">
        <v>872</v>
      </c>
      <c r="K100" s="5" t="s">
        <v>22</v>
      </c>
      <c r="L100" s="5" t="s">
        <v>771</v>
      </c>
      <c r="M100" s="5" t="s">
        <v>873</v>
      </c>
    </row>
    <row r="101" ht="22.5" customHeight="1">
      <c r="A101" s="4">
        <v>46046.25487034723</v>
      </c>
      <c r="B101" s="5" t="s">
        <v>874</v>
      </c>
      <c r="C101" s="6" t="s">
        <v>875</v>
      </c>
      <c r="D101" s="5" t="s">
        <v>876</v>
      </c>
      <c r="E101" s="5" t="s">
        <v>47</v>
      </c>
      <c r="F101" s="7" t="s">
        <v>877</v>
      </c>
      <c r="G101" s="7" t="s">
        <v>878</v>
      </c>
      <c r="H101" s="5" t="s">
        <v>879</v>
      </c>
      <c r="I101" s="5" t="s">
        <v>880</v>
      </c>
      <c r="J101" s="5" t="s">
        <v>31</v>
      </c>
      <c r="K101" s="5" t="s">
        <v>32</v>
      </c>
      <c r="L101" s="5" t="s">
        <v>123</v>
      </c>
      <c r="M101" s="5" t="s">
        <v>881</v>
      </c>
    </row>
    <row r="102" ht="22.5" customHeight="1">
      <c r="A102" s="4">
        <v>46046.320385625004</v>
      </c>
      <c r="B102" s="5" t="s">
        <v>882</v>
      </c>
      <c r="C102" s="6" t="s">
        <v>883</v>
      </c>
      <c r="D102" s="5" t="s">
        <v>884</v>
      </c>
      <c r="E102" s="5" t="s">
        <v>116</v>
      </c>
      <c r="F102" s="7" t="s">
        <v>885</v>
      </c>
      <c r="G102" s="7" t="s">
        <v>886</v>
      </c>
      <c r="H102" s="5" t="s">
        <v>887</v>
      </c>
      <c r="I102" s="5" t="s">
        <v>888</v>
      </c>
      <c r="J102" s="5" t="s">
        <v>149</v>
      </c>
      <c r="K102" s="5" t="s">
        <v>122</v>
      </c>
      <c r="L102" s="5" t="s">
        <v>889</v>
      </c>
      <c r="M102" s="5" t="s">
        <v>160</v>
      </c>
    </row>
    <row r="103" ht="22.5" customHeight="1">
      <c r="A103" s="4">
        <v>46046.42803306713</v>
      </c>
      <c r="B103" s="5" t="s">
        <v>890</v>
      </c>
      <c r="C103" s="6" t="s">
        <v>891</v>
      </c>
      <c r="D103" s="5" t="s">
        <v>892</v>
      </c>
      <c r="E103" s="5" t="s">
        <v>116</v>
      </c>
      <c r="F103" s="7" t="s">
        <v>893</v>
      </c>
      <c r="G103" s="7" t="s">
        <v>894</v>
      </c>
      <c r="H103" s="5" t="s">
        <v>895</v>
      </c>
      <c r="I103" s="5" t="s">
        <v>896</v>
      </c>
      <c r="J103" s="5" t="s">
        <v>897</v>
      </c>
      <c r="K103" s="5" t="s">
        <v>110</v>
      </c>
      <c r="L103" s="5" t="s">
        <v>898</v>
      </c>
      <c r="M103" s="5" t="s">
        <v>899</v>
      </c>
    </row>
    <row r="104" ht="22.5" customHeight="1">
      <c r="A104" s="4">
        <v>46046.428948553235</v>
      </c>
      <c r="B104" s="5" t="s">
        <v>900</v>
      </c>
      <c r="C104" s="6" t="s">
        <v>901</v>
      </c>
      <c r="D104" s="5" t="s">
        <v>902</v>
      </c>
      <c r="E104" s="5" t="s">
        <v>16</v>
      </c>
      <c r="F104" s="7" t="s">
        <v>903</v>
      </c>
      <c r="G104" s="7" t="s">
        <v>904</v>
      </c>
      <c r="H104" s="5" t="s">
        <v>905</v>
      </c>
      <c r="I104" s="5" t="s">
        <v>906</v>
      </c>
      <c r="J104" s="5" t="s">
        <v>149</v>
      </c>
      <c r="K104" s="5" t="s">
        <v>110</v>
      </c>
      <c r="L104" s="5" t="s">
        <v>907</v>
      </c>
      <c r="M104" s="5" t="s">
        <v>178</v>
      </c>
    </row>
    <row r="105" ht="22.5" customHeight="1">
      <c r="A105" s="4">
        <v>46046.43185523148</v>
      </c>
      <c r="B105" s="5" t="s">
        <v>908</v>
      </c>
      <c r="C105" s="6" t="s">
        <v>909</v>
      </c>
      <c r="D105" s="5" t="s">
        <v>910</v>
      </c>
      <c r="E105" s="5" t="s">
        <v>16</v>
      </c>
      <c r="F105" s="7" t="s">
        <v>911</v>
      </c>
      <c r="G105" s="7" t="s">
        <v>912</v>
      </c>
      <c r="H105" s="5" t="s">
        <v>913</v>
      </c>
      <c r="I105" s="5" t="s">
        <v>914</v>
      </c>
      <c r="J105" s="5" t="s">
        <v>248</v>
      </c>
      <c r="K105" s="5" t="s">
        <v>22</v>
      </c>
      <c r="L105" s="5" t="s">
        <v>532</v>
      </c>
      <c r="M105" s="5" t="s">
        <v>915</v>
      </c>
    </row>
    <row r="106" ht="22.5" customHeight="1">
      <c r="A106" s="4">
        <v>46046.46361089121</v>
      </c>
      <c r="B106" s="5" t="s">
        <v>916</v>
      </c>
      <c r="C106" s="5">
        <v>1.11180383E9</v>
      </c>
      <c r="D106" s="5" t="s">
        <v>917</v>
      </c>
      <c r="E106" s="5" t="s">
        <v>47</v>
      </c>
      <c r="F106" s="7" t="s">
        <v>918</v>
      </c>
      <c r="G106" s="7" t="s">
        <v>919</v>
      </c>
      <c r="H106" s="5" t="s">
        <v>920</v>
      </c>
      <c r="I106" s="5" t="s">
        <v>921</v>
      </c>
      <c r="J106" s="5" t="s">
        <v>149</v>
      </c>
      <c r="K106" s="5" t="s">
        <v>32</v>
      </c>
      <c r="L106" s="5" t="s">
        <v>922</v>
      </c>
      <c r="M106" s="5" t="s">
        <v>112</v>
      </c>
    </row>
    <row r="107" ht="22.5" customHeight="1">
      <c r="A107" s="4">
        <v>46046.47350983796</v>
      </c>
      <c r="B107" s="5" t="s">
        <v>923</v>
      </c>
      <c r="C107" s="6" t="s">
        <v>924</v>
      </c>
      <c r="D107" s="5" t="s">
        <v>925</v>
      </c>
      <c r="E107" s="5" t="s">
        <v>116</v>
      </c>
      <c r="F107" s="7" t="s">
        <v>926</v>
      </c>
      <c r="G107" s="7" t="s">
        <v>927</v>
      </c>
      <c r="H107" s="5" t="s">
        <v>928</v>
      </c>
      <c r="I107" s="5" t="s">
        <v>929</v>
      </c>
      <c r="J107" s="5" t="s">
        <v>176</v>
      </c>
      <c r="K107" s="5" t="s">
        <v>110</v>
      </c>
      <c r="L107" s="5" t="s">
        <v>930</v>
      </c>
      <c r="M107" s="5" t="s">
        <v>73</v>
      </c>
    </row>
    <row r="108" ht="22.5" customHeight="1">
      <c r="A108" s="4">
        <v>46046.49214429398</v>
      </c>
      <c r="B108" s="8" t="s">
        <v>931</v>
      </c>
      <c r="C108" s="6" t="s">
        <v>932</v>
      </c>
      <c r="D108" s="5" t="s">
        <v>933</v>
      </c>
      <c r="E108" s="5" t="s">
        <v>47</v>
      </c>
      <c r="F108" s="7" t="s">
        <v>934</v>
      </c>
      <c r="G108" s="7" t="s">
        <v>935</v>
      </c>
      <c r="H108" s="5" t="s">
        <v>936</v>
      </c>
      <c r="I108" s="5" t="s">
        <v>937</v>
      </c>
      <c r="J108" s="5" t="s">
        <v>21</v>
      </c>
      <c r="K108" s="5" t="s">
        <v>22</v>
      </c>
      <c r="L108" s="5" t="s">
        <v>938</v>
      </c>
      <c r="M108" s="5" t="s">
        <v>43</v>
      </c>
    </row>
    <row r="109" ht="22.5" customHeight="1">
      <c r="A109" s="4">
        <v>46046.52854260417</v>
      </c>
      <c r="B109" s="5" t="s">
        <v>939</v>
      </c>
      <c r="C109" s="6" t="s">
        <v>940</v>
      </c>
      <c r="D109" s="5" t="s">
        <v>941</v>
      </c>
      <c r="E109" s="5" t="s">
        <v>47</v>
      </c>
      <c r="F109" s="7" t="s">
        <v>942</v>
      </c>
      <c r="G109" s="7" t="s">
        <v>943</v>
      </c>
      <c r="H109" s="5" t="s">
        <v>944</v>
      </c>
      <c r="I109" s="5" t="s">
        <v>945</v>
      </c>
      <c r="J109" s="5" t="s">
        <v>149</v>
      </c>
      <c r="K109" s="5" t="s">
        <v>32</v>
      </c>
      <c r="L109" s="5" t="s">
        <v>946</v>
      </c>
      <c r="M109" s="5" t="s">
        <v>112</v>
      </c>
    </row>
    <row r="110" ht="22.5" customHeight="1">
      <c r="A110" s="4">
        <v>46046.556409375</v>
      </c>
      <c r="B110" s="5" t="s">
        <v>947</v>
      </c>
      <c r="C110" s="6" t="s">
        <v>948</v>
      </c>
      <c r="D110" s="5" t="s">
        <v>949</v>
      </c>
      <c r="E110" s="5" t="s">
        <v>47</v>
      </c>
      <c r="F110" s="7" t="s">
        <v>950</v>
      </c>
      <c r="G110" s="7" t="s">
        <v>951</v>
      </c>
      <c r="H110" s="5" t="s">
        <v>952</v>
      </c>
      <c r="I110" s="5" t="s">
        <v>953</v>
      </c>
      <c r="J110" s="5" t="s">
        <v>149</v>
      </c>
      <c r="K110" s="5" t="s">
        <v>122</v>
      </c>
      <c r="L110" s="5" t="s">
        <v>590</v>
      </c>
      <c r="M110" s="5" t="s">
        <v>954</v>
      </c>
    </row>
    <row r="111" ht="22.5" customHeight="1">
      <c r="A111" s="4">
        <v>46046.56691916667</v>
      </c>
      <c r="B111" s="5" t="s">
        <v>955</v>
      </c>
      <c r="C111" s="6" t="s">
        <v>956</v>
      </c>
      <c r="D111" s="5" t="s">
        <v>957</v>
      </c>
      <c r="E111" s="5" t="s">
        <v>47</v>
      </c>
      <c r="F111" s="7" t="s">
        <v>958</v>
      </c>
      <c r="G111" s="7" t="s">
        <v>959</v>
      </c>
      <c r="H111" s="5" t="s">
        <v>960</v>
      </c>
      <c r="I111" s="5" t="s">
        <v>961</v>
      </c>
      <c r="J111" s="5" t="s">
        <v>149</v>
      </c>
      <c r="K111" s="5" t="s">
        <v>32</v>
      </c>
      <c r="L111" s="5" t="s">
        <v>962</v>
      </c>
      <c r="M111" s="5" t="s">
        <v>963</v>
      </c>
    </row>
    <row r="112" ht="22.5" customHeight="1">
      <c r="A112" s="4">
        <v>46046.59676371528</v>
      </c>
      <c r="B112" s="5" t="s">
        <v>964</v>
      </c>
      <c r="C112" s="6" t="s">
        <v>965</v>
      </c>
      <c r="D112" s="5" t="s">
        <v>966</v>
      </c>
      <c r="E112" s="5" t="s">
        <v>16</v>
      </c>
      <c r="F112" s="7" t="s">
        <v>967</v>
      </c>
      <c r="G112" s="7" t="s">
        <v>968</v>
      </c>
      <c r="H112" s="5" t="s">
        <v>969</v>
      </c>
      <c r="I112" s="5" t="s">
        <v>970</v>
      </c>
      <c r="J112" s="5" t="s">
        <v>971</v>
      </c>
      <c r="K112" s="5" t="s">
        <v>32</v>
      </c>
      <c r="L112" s="5" t="s">
        <v>972</v>
      </c>
      <c r="M112" s="5" t="s">
        <v>292</v>
      </c>
    </row>
    <row r="113" ht="22.5" customHeight="1">
      <c r="A113" s="4">
        <v>46046.6014872338</v>
      </c>
      <c r="B113" s="8" t="s">
        <v>973</v>
      </c>
      <c r="C113" s="6" t="s">
        <v>974</v>
      </c>
      <c r="D113" s="5" t="s">
        <v>975</v>
      </c>
      <c r="E113" s="5" t="s">
        <v>16</v>
      </c>
      <c r="F113" s="7" t="s">
        <v>976</v>
      </c>
      <c r="G113" s="7" t="s">
        <v>977</v>
      </c>
      <c r="H113" s="5" t="s">
        <v>978</v>
      </c>
      <c r="I113" s="5" t="s">
        <v>979</v>
      </c>
      <c r="J113" s="5" t="s">
        <v>980</v>
      </c>
      <c r="K113" s="5" t="s">
        <v>110</v>
      </c>
      <c r="L113" s="5" t="s">
        <v>981</v>
      </c>
      <c r="M113" s="5" t="s">
        <v>292</v>
      </c>
    </row>
    <row r="114" ht="22.5" customHeight="1">
      <c r="A114" s="4">
        <v>46046.636190694444</v>
      </c>
      <c r="B114" s="5" t="s">
        <v>982</v>
      </c>
      <c r="C114" s="6" t="s">
        <v>983</v>
      </c>
      <c r="D114" s="5" t="s">
        <v>984</v>
      </c>
      <c r="E114" s="5" t="s">
        <v>16</v>
      </c>
      <c r="F114" s="7" t="s">
        <v>985</v>
      </c>
      <c r="G114" s="7" t="s">
        <v>986</v>
      </c>
      <c r="H114" s="5" t="s">
        <v>987</v>
      </c>
      <c r="I114" s="5" t="s">
        <v>988</v>
      </c>
      <c r="J114" s="5" t="s">
        <v>355</v>
      </c>
      <c r="K114" s="5" t="s">
        <v>22</v>
      </c>
      <c r="L114" s="5" t="s">
        <v>989</v>
      </c>
      <c r="M114" s="5" t="s">
        <v>990</v>
      </c>
    </row>
    <row r="115" ht="22.5" customHeight="1">
      <c r="A115" s="4">
        <v>46046.65949107639</v>
      </c>
      <c r="B115" s="5" t="s">
        <v>991</v>
      </c>
      <c r="C115" s="6" t="s">
        <v>992</v>
      </c>
      <c r="D115" s="5" t="s">
        <v>993</v>
      </c>
      <c r="E115" s="5" t="s">
        <v>16</v>
      </c>
      <c r="F115" s="7" t="s">
        <v>994</v>
      </c>
      <c r="G115" s="7" t="s">
        <v>995</v>
      </c>
      <c r="H115" s="5" t="s">
        <v>996</v>
      </c>
      <c r="I115" s="5" t="s">
        <v>997</v>
      </c>
      <c r="J115" s="5" t="s">
        <v>355</v>
      </c>
      <c r="K115" s="5" t="s">
        <v>122</v>
      </c>
      <c r="L115" s="5" t="s">
        <v>998</v>
      </c>
      <c r="M115" s="5" t="s">
        <v>999</v>
      </c>
    </row>
    <row r="116" ht="22.5" customHeight="1">
      <c r="A116" s="4">
        <v>46046.67481391203</v>
      </c>
      <c r="B116" s="5" t="s">
        <v>1000</v>
      </c>
      <c r="C116" s="6" t="s">
        <v>1001</v>
      </c>
      <c r="D116" s="5" t="s">
        <v>1002</v>
      </c>
      <c r="E116" s="5" t="s">
        <v>47</v>
      </c>
      <c r="F116" s="7" t="s">
        <v>1003</v>
      </c>
      <c r="G116" s="7" t="s">
        <v>1004</v>
      </c>
      <c r="H116" s="5" t="s">
        <v>1005</v>
      </c>
      <c r="I116" s="5" t="s">
        <v>1006</v>
      </c>
      <c r="J116" s="5" t="s">
        <v>149</v>
      </c>
      <c r="K116" s="5" t="s">
        <v>110</v>
      </c>
      <c r="L116" s="5" t="s">
        <v>123</v>
      </c>
      <c r="M116" s="5" t="s">
        <v>1007</v>
      </c>
    </row>
    <row r="117" ht="22.5" customHeight="1">
      <c r="A117" s="4">
        <v>46046.680630682866</v>
      </c>
      <c r="B117" s="8" t="s">
        <v>1008</v>
      </c>
      <c r="C117" s="6" t="s">
        <v>1009</v>
      </c>
      <c r="D117" s="5" t="s">
        <v>1010</v>
      </c>
      <c r="E117" s="5" t="s">
        <v>47</v>
      </c>
      <c r="F117" s="7" t="s">
        <v>1011</v>
      </c>
      <c r="G117" s="7" t="s">
        <v>1012</v>
      </c>
      <c r="H117" s="8" t="s">
        <v>1013</v>
      </c>
      <c r="I117" s="8" t="s">
        <v>1014</v>
      </c>
      <c r="J117" s="8" t="s">
        <v>1015</v>
      </c>
      <c r="K117" s="5" t="s">
        <v>122</v>
      </c>
      <c r="L117" s="5" t="s">
        <v>1016</v>
      </c>
      <c r="M117" s="8" t="s">
        <v>500</v>
      </c>
    </row>
    <row r="118" ht="22.5" customHeight="1">
      <c r="A118" s="4">
        <v>46046.68365658565</v>
      </c>
      <c r="B118" s="5" t="s">
        <v>1017</v>
      </c>
      <c r="C118" s="6" t="s">
        <v>1018</v>
      </c>
      <c r="D118" s="5" t="s">
        <v>1019</v>
      </c>
      <c r="E118" s="5" t="s">
        <v>16</v>
      </c>
      <c r="F118" s="7" t="s">
        <v>1020</v>
      </c>
      <c r="G118" s="7" t="s">
        <v>1021</v>
      </c>
      <c r="H118" s="5" t="s">
        <v>1022</v>
      </c>
      <c r="I118" s="5" t="s">
        <v>1023</v>
      </c>
      <c r="J118" s="5" t="s">
        <v>1024</v>
      </c>
      <c r="K118" s="5" t="s">
        <v>32</v>
      </c>
      <c r="L118" s="5" t="s">
        <v>1025</v>
      </c>
      <c r="M118" s="8" t="s">
        <v>1026</v>
      </c>
    </row>
    <row r="119" ht="22.5" customHeight="1">
      <c r="A119" s="4">
        <v>46046.68543614583</v>
      </c>
      <c r="B119" s="8" t="s">
        <v>1027</v>
      </c>
      <c r="C119" s="6" t="s">
        <v>1028</v>
      </c>
      <c r="D119" s="5" t="s">
        <v>1029</v>
      </c>
      <c r="E119" s="5" t="s">
        <v>47</v>
      </c>
      <c r="F119" s="7" t="s">
        <v>1030</v>
      </c>
      <c r="G119" s="7" t="s">
        <v>1031</v>
      </c>
      <c r="H119" s="5" t="s">
        <v>1032</v>
      </c>
      <c r="I119" s="5" t="s">
        <v>1033</v>
      </c>
      <c r="J119" s="5" t="s">
        <v>1034</v>
      </c>
      <c r="K119" s="5" t="s">
        <v>22</v>
      </c>
      <c r="L119" s="5" t="s">
        <v>123</v>
      </c>
      <c r="M119" s="5" t="s">
        <v>839</v>
      </c>
    </row>
    <row r="120" ht="22.5" customHeight="1">
      <c r="A120" s="4">
        <v>46046.691355069444</v>
      </c>
      <c r="B120" s="8" t="s">
        <v>1035</v>
      </c>
      <c r="C120" s="6" t="s">
        <v>1036</v>
      </c>
      <c r="D120" s="5" t="s">
        <v>1037</v>
      </c>
      <c r="E120" s="5" t="s">
        <v>47</v>
      </c>
      <c r="F120" s="7" t="s">
        <v>1038</v>
      </c>
      <c r="G120" s="7" t="s">
        <v>1039</v>
      </c>
      <c r="H120" s="8" t="s">
        <v>1040</v>
      </c>
      <c r="I120" s="8" t="s">
        <v>1041</v>
      </c>
      <c r="J120" s="8" t="s">
        <v>1042</v>
      </c>
      <c r="K120" s="5" t="s">
        <v>22</v>
      </c>
      <c r="L120" s="5" t="s">
        <v>123</v>
      </c>
      <c r="M120" s="8" t="s">
        <v>1043</v>
      </c>
    </row>
    <row r="121" ht="22.5" customHeight="1">
      <c r="A121" s="4">
        <v>46046.71265793982</v>
      </c>
      <c r="B121" s="5" t="s">
        <v>1044</v>
      </c>
      <c r="C121" s="6" t="s">
        <v>1045</v>
      </c>
      <c r="D121" s="5" t="s">
        <v>1046</v>
      </c>
      <c r="E121" s="5" t="s">
        <v>47</v>
      </c>
      <c r="F121" s="5" t="s">
        <v>1047</v>
      </c>
      <c r="G121" s="7" t="s">
        <v>1048</v>
      </c>
      <c r="H121" s="5" t="s">
        <v>1049</v>
      </c>
      <c r="I121" s="5" t="s">
        <v>1050</v>
      </c>
      <c r="J121" s="5" t="s">
        <v>1051</v>
      </c>
      <c r="K121" s="5" t="s">
        <v>32</v>
      </c>
      <c r="L121" s="5" t="s">
        <v>177</v>
      </c>
      <c r="M121" s="5" t="s">
        <v>34</v>
      </c>
    </row>
    <row r="122" ht="22.5" customHeight="1">
      <c r="A122" s="4">
        <v>46046.71646123842</v>
      </c>
      <c r="B122" s="5" t="s">
        <v>1052</v>
      </c>
      <c r="C122" s="6" t="s">
        <v>1053</v>
      </c>
      <c r="D122" s="5" t="s">
        <v>1054</v>
      </c>
      <c r="E122" s="5" t="s">
        <v>47</v>
      </c>
      <c r="F122" s="7" t="s">
        <v>1055</v>
      </c>
      <c r="G122" s="7" t="s">
        <v>1056</v>
      </c>
      <c r="H122" s="5" t="s">
        <v>1057</v>
      </c>
      <c r="I122" s="5" t="s">
        <v>1058</v>
      </c>
      <c r="J122" s="5" t="s">
        <v>581</v>
      </c>
      <c r="K122" s="5" t="s">
        <v>22</v>
      </c>
      <c r="L122" s="5" t="s">
        <v>1059</v>
      </c>
      <c r="M122" s="5" t="s">
        <v>417</v>
      </c>
    </row>
    <row r="123" ht="22.5" customHeight="1">
      <c r="A123" s="4">
        <v>46046.716994999995</v>
      </c>
      <c r="B123" s="5" t="s">
        <v>1060</v>
      </c>
      <c r="C123" s="6" t="s">
        <v>1061</v>
      </c>
      <c r="D123" s="5" t="s">
        <v>1062</v>
      </c>
      <c r="E123" s="5" t="s">
        <v>16</v>
      </c>
      <c r="F123" s="7" t="s">
        <v>1063</v>
      </c>
      <c r="G123" s="7" t="s">
        <v>1064</v>
      </c>
      <c r="H123" s="5" t="s">
        <v>1065</v>
      </c>
      <c r="I123" s="5" t="s">
        <v>1066</v>
      </c>
      <c r="J123" s="5" t="s">
        <v>1067</v>
      </c>
      <c r="K123" s="5" t="s">
        <v>110</v>
      </c>
      <c r="L123" s="5" t="s">
        <v>1068</v>
      </c>
      <c r="M123" s="5" t="s">
        <v>1069</v>
      </c>
    </row>
    <row r="124" ht="22.5" customHeight="1">
      <c r="A124" s="4">
        <v>46046.722467997686</v>
      </c>
      <c r="B124" s="5" t="s">
        <v>1070</v>
      </c>
      <c r="C124" s="5" t="s">
        <v>1071</v>
      </c>
      <c r="D124" s="5" t="s">
        <v>1072</v>
      </c>
      <c r="E124" s="5" t="s">
        <v>16</v>
      </c>
      <c r="F124" s="7" t="s">
        <v>1073</v>
      </c>
      <c r="G124" s="7" t="s">
        <v>1074</v>
      </c>
      <c r="H124" s="5" t="s">
        <v>1075</v>
      </c>
      <c r="I124" s="5" t="s">
        <v>1076</v>
      </c>
      <c r="J124" s="5" t="s">
        <v>149</v>
      </c>
      <c r="K124" s="5" t="s">
        <v>32</v>
      </c>
      <c r="L124" s="5" t="s">
        <v>1077</v>
      </c>
      <c r="M124" s="5" t="s">
        <v>1078</v>
      </c>
    </row>
    <row r="125" ht="22.5" customHeight="1">
      <c r="A125" s="4">
        <v>46046.72357011574</v>
      </c>
      <c r="B125" s="5" t="s">
        <v>1079</v>
      </c>
      <c r="C125" s="6" t="s">
        <v>1080</v>
      </c>
      <c r="D125" s="5" t="s">
        <v>1081</v>
      </c>
      <c r="E125" s="5" t="s">
        <v>16</v>
      </c>
      <c r="F125" s="7" t="s">
        <v>1082</v>
      </c>
      <c r="G125" s="7" t="s">
        <v>1083</v>
      </c>
      <c r="H125" s="5" t="s">
        <v>1084</v>
      </c>
      <c r="I125" s="5" t="s">
        <v>1085</v>
      </c>
      <c r="J125" s="5" t="s">
        <v>248</v>
      </c>
      <c r="K125" s="5" t="s">
        <v>22</v>
      </c>
      <c r="L125" s="5" t="s">
        <v>1086</v>
      </c>
      <c r="M125" s="5" t="s">
        <v>417</v>
      </c>
    </row>
    <row r="126" ht="22.5" customHeight="1">
      <c r="A126" s="4">
        <v>46046.727074282404</v>
      </c>
      <c r="B126" s="5" t="s">
        <v>1087</v>
      </c>
      <c r="C126" s="6" t="s">
        <v>1088</v>
      </c>
      <c r="D126" s="5" t="s">
        <v>1089</v>
      </c>
      <c r="E126" s="5" t="s">
        <v>47</v>
      </c>
      <c r="F126" s="7" t="s">
        <v>1090</v>
      </c>
      <c r="G126" s="7" t="s">
        <v>1091</v>
      </c>
      <c r="H126" s="5" t="s">
        <v>1092</v>
      </c>
      <c r="I126" s="5" t="s">
        <v>1093</v>
      </c>
      <c r="J126" s="5" t="s">
        <v>248</v>
      </c>
      <c r="K126" s="5" t="s">
        <v>110</v>
      </c>
      <c r="L126" s="5" t="s">
        <v>1094</v>
      </c>
      <c r="M126" s="5" t="s">
        <v>1095</v>
      </c>
    </row>
    <row r="127" ht="22.5" customHeight="1">
      <c r="A127" s="4">
        <v>46046.746246469906</v>
      </c>
      <c r="B127" s="5" t="s">
        <v>1096</v>
      </c>
      <c r="C127" s="6" t="s">
        <v>1097</v>
      </c>
      <c r="D127" s="5" t="s">
        <v>1098</v>
      </c>
      <c r="E127" s="5" t="s">
        <v>47</v>
      </c>
      <c r="F127" s="7" t="s">
        <v>1099</v>
      </c>
      <c r="G127" s="7" t="s">
        <v>1100</v>
      </c>
      <c r="H127" s="5" t="s">
        <v>1101</v>
      </c>
      <c r="I127" s="5" t="s">
        <v>1102</v>
      </c>
      <c r="J127" s="5" t="s">
        <v>1103</v>
      </c>
      <c r="K127" s="5" t="s">
        <v>22</v>
      </c>
      <c r="L127" s="5" t="s">
        <v>100</v>
      </c>
      <c r="M127" s="5" t="s">
        <v>73</v>
      </c>
    </row>
    <row r="128" ht="22.5" customHeight="1">
      <c r="A128" s="4">
        <v>46046.74810856482</v>
      </c>
      <c r="B128" s="5" t="s">
        <v>1104</v>
      </c>
      <c r="C128" s="6" t="s">
        <v>1105</v>
      </c>
      <c r="D128" s="5" t="s">
        <v>1106</v>
      </c>
      <c r="E128" s="5" t="s">
        <v>16</v>
      </c>
      <c r="F128" s="7" t="s">
        <v>1107</v>
      </c>
      <c r="G128" s="7" t="s">
        <v>1108</v>
      </c>
      <c r="H128" s="5" t="s">
        <v>1109</v>
      </c>
      <c r="I128" s="5" t="s">
        <v>1110</v>
      </c>
      <c r="J128" s="5" t="s">
        <v>1111</v>
      </c>
      <c r="K128" s="5" t="s">
        <v>110</v>
      </c>
      <c r="L128" s="5" t="s">
        <v>1112</v>
      </c>
      <c r="M128" s="5" t="s">
        <v>43</v>
      </c>
    </row>
    <row r="129" ht="22.5" customHeight="1">
      <c r="A129" s="4">
        <v>46046.76705854166</v>
      </c>
      <c r="B129" s="5" t="s">
        <v>1113</v>
      </c>
      <c r="C129" s="6" t="s">
        <v>1114</v>
      </c>
      <c r="D129" s="5" t="s">
        <v>1115</v>
      </c>
      <c r="E129" s="5" t="s">
        <v>16</v>
      </c>
      <c r="F129" s="7" t="s">
        <v>1116</v>
      </c>
      <c r="G129" s="7" t="s">
        <v>1117</v>
      </c>
      <c r="H129" s="5" t="s">
        <v>1118</v>
      </c>
      <c r="I129" s="5" t="s">
        <v>1119</v>
      </c>
      <c r="J129" s="5" t="s">
        <v>1120</v>
      </c>
      <c r="K129" s="5" t="s">
        <v>22</v>
      </c>
      <c r="L129" s="5" t="s">
        <v>1121</v>
      </c>
      <c r="M129" s="5" t="s">
        <v>1122</v>
      </c>
    </row>
    <row r="130" ht="22.5" customHeight="1">
      <c r="A130" s="4">
        <v>46046.769782511576</v>
      </c>
      <c r="B130" s="5" t="s">
        <v>1123</v>
      </c>
      <c r="C130" s="6" t="s">
        <v>1124</v>
      </c>
      <c r="D130" s="5" t="s">
        <v>1125</v>
      </c>
      <c r="E130" s="5" t="s">
        <v>116</v>
      </c>
      <c r="F130" s="7" t="s">
        <v>1126</v>
      </c>
      <c r="G130" s="7" t="s">
        <v>1127</v>
      </c>
      <c r="H130" s="5" t="s">
        <v>1128</v>
      </c>
      <c r="I130" s="5" t="s">
        <v>1129</v>
      </c>
      <c r="J130" s="5" t="s">
        <v>1130</v>
      </c>
      <c r="K130" s="5" t="s">
        <v>22</v>
      </c>
      <c r="L130" s="5" t="s">
        <v>1131</v>
      </c>
      <c r="M130" s="5" t="s">
        <v>73</v>
      </c>
    </row>
    <row r="131" ht="22.5" customHeight="1">
      <c r="A131" s="4">
        <v>46046.77274505787</v>
      </c>
      <c r="B131" s="5" t="s">
        <v>1132</v>
      </c>
      <c r="C131" s="6" t="s">
        <v>1133</v>
      </c>
      <c r="D131" s="5" t="s">
        <v>1134</v>
      </c>
      <c r="E131" s="5" t="s">
        <v>16</v>
      </c>
      <c r="F131" s="7" t="s">
        <v>1135</v>
      </c>
      <c r="G131" s="7" t="s">
        <v>1136</v>
      </c>
      <c r="H131" s="5" t="s">
        <v>1137</v>
      </c>
      <c r="I131" s="5" t="s">
        <v>1138</v>
      </c>
      <c r="J131" s="5" t="s">
        <v>1139</v>
      </c>
      <c r="K131" s="5" t="s">
        <v>22</v>
      </c>
      <c r="L131" s="5" t="s">
        <v>1140</v>
      </c>
      <c r="M131" s="5" t="s">
        <v>366</v>
      </c>
    </row>
    <row r="132" ht="22.5" customHeight="1">
      <c r="A132" s="4">
        <v>46046.77353652778</v>
      </c>
      <c r="B132" s="5" t="s">
        <v>1141</v>
      </c>
      <c r="C132" s="6" t="s">
        <v>1142</v>
      </c>
      <c r="D132" s="5" t="s">
        <v>1143</v>
      </c>
      <c r="E132" s="5" t="s">
        <v>47</v>
      </c>
      <c r="F132" s="7" t="s">
        <v>1144</v>
      </c>
      <c r="G132" s="7" t="s">
        <v>1145</v>
      </c>
      <c r="H132" s="5" t="s">
        <v>1146</v>
      </c>
      <c r="I132" s="5" t="s">
        <v>1147</v>
      </c>
      <c r="J132" s="5" t="s">
        <v>1148</v>
      </c>
      <c r="K132" s="5" t="s">
        <v>122</v>
      </c>
      <c r="L132" s="5" t="s">
        <v>1149</v>
      </c>
      <c r="M132" s="5" t="s">
        <v>1150</v>
      </c>
    </row>
    <row r="133" ht="22.5" customHeight="1">
      <c r="A133" s="4">
        <v>46046.79008261574</v>
      </c>
      <c r="B133" s="5" t="s">
        <v>1151</v>
      </c>
      <c r="C133" s="6" t="s">
        <v>1152</v>
      </c>
      <c r="D133" s="5" t="s">
        <v>1153</v>
      </c>
      <c r="E133" s="5" t="s">
        <v>16</v>
      </c>
      <c r="F133" s="7" t="s">
        <v>1154</v>
      </c>
      <c r="G133" s="7" t="s">
        <v>1155</v>
      </c>
      <c r="H133" s="5" t="s">
        <v>1156</v>
      </c>
      <c r="I133" s="5" t="s">
        <v>1157</v>
      </c>
      <c r="J133" s="5" t="s">
        <v>1158</v>
      </c>
      <c r="K133" s="5" t="s">
        <v>32</v>
      </c>
      <c r="L133" s="5" t="s">
        <v>123</v>
      </c>
      <c r="M133" s="5" t="s">
        <v>43</v>
      </c>
    </row>
    <row r="134" ht="22.5" customHeight="1">
      <c r="A134" s="4">
        <v>46046.81335065972</v>
      </c>
      <c r="B134" s="5" t="s">
        <v>1159</v>
      </c>
      <c r="C134" s="6" t="s">
        <v>1160</v>
      </c>
      <c r="D134" s="5" t="s">
        <v>1161</v>
      </c>
      <c r="E134" s="5" t="s">
        <v>16</v>
      </c>
      <c r="F134" s="7" t="s">
        <v>1162</v>
      </c>
      <c r="G134" s="7" t="s">
        <v>1163</v>
      </c>
      <c r="H134" s="5" t="s">
        <v>1164</v>
      </c>
      <c r="I134" s="5" t="s">
        <v>1165</v>
      </c>
      <c r="J134" s="5" t="s">
        <v>1166</v>
      </c>
      <c r="K134" s="5" t="s">
        <v>32</v>
      </c>
      <c r="L134" s="5" t="s">
        <v>123</v>
      </c>
      <c r="M134" s="5" t="s">
        <v>1167</v>
      </c>
    </row>
    <row r="135" ht="22.5" customHeight="1">
      <c r="A135" s="4">
        <v>46046.83978108796</v>
      </c>
      <c r="B135" s="5" t="s">
        <v>1168</v>
      </c>
      <c r="C135" s="6" t="s">
        <v>1169</v>
      </c>
      <c r="D135" s="5" t="s">
        <v>1170</v>
      </c>
      <c r="E135" s="5" t="s">
        <v>47</v>
      </c>
      <c r="F135" s="8" t="s">
        <v>1171</v>
      </c>
      <c r="G135" s="7" t="s">
        <v>1172</v>
      </c>
      <c r="H135" s="5" t="s">
        <v>1173</v>
      </c>
      <c r="I135" s="5" t="s">
        <v>1174</v>
      </c>
      <c r="J135" s="5" t="s">
        <v>1175</v>
      </c>
      <c r="K135" s="5" t="s">
        <v>122</v>
      </c>
      <c r="L135" s="5" t="s">
        <v>1176</v>
      </c>
      <c r="M135" s="5" t="s">
        <v>1177</v>
      </c>
    </row>
    <row r="136" ht="22.5" customHeight="1">
      <c r="A136" s="4">
        <v>46046.859155</v>
      </c>
      <c r="B136" s="5" t="s">
        <v>1178</v>
      </c>
      <c r="C136" s="6" t="s">
        <v>1179</v>
      </c>
      <c r="D136" s="5" t="s">
        <v>1180</v>
      </c>
      <c r="E136" s="5" t="s">
        <v>47</v>
      </c>
      <c r="F136" s="7" t="s">
        <v>1181</v>
      </c>
      <c r="G136" s="7" t="s">
        <v>1182</v>
      </c>
      <c r="H136" s="5" t="s">
        <v>1183</v>
      </c>
      <c r="I136" s="5" t="s">
        <v>1184</v>
      </c>
      <c r="J136" s="5" t="s">
        <v>1185</v>
      </c>
      <c r="K136" s="5" t="s">
        <v>22</v>
      </c>
      <c r="L136" s="5" t="s">
        <v>1186</v>
      </c>
      <c r="M136" s="5" t="s">
        <v>1187</v>
      </c>
    </row>
    <row r="137" ht="22.5" customHeight="1">
      <c r="A137" s="4">
        <v>46046.87821178241</v>
      </c>
      <c r="B137" s="5" t="s">
        <v>1188</v>
      </c>
      <c r="C137" s="6" t="s">
        <v>1189</v>
      </c>
      <c r="D137" s="5" t="s">
        <v>1190</v>
      </c>
      <c r="E137" s="5" t="s">
        <v>16</v>
      </c>
      <c r="F137" s="7" t="s">
        <v>1191</v>
      </c>
      <c r="G137" s="7" t="s">
        <v>1192</v>
      </c>
      <c r="H137" s="5" t="s">
        <v>1193</v>
      </c>
      <c r="I137" s="5" t="s">
        <v>1194</v>
      </c>
      <c r="J137" s="5" t="s">
        <v>5</v>
      </c>
      <c r="K137" s="5" t="s">
        <v>32</v>
      </c>
      <c r="L137" s="5" t="s">
        <v>1195</v>
      </c>
      <c r="M137" s="5" t="s">
        <v>813</v>
      </c>
    </row>
    <row r="138" ht="22.5" customHeight="1">
      <c r="A138" s="4">
        <v>46046.93422199074</v>
      </c>
      <c r="B138" s="5" t="s">
        <v>1196</v>
      </c>
      <c r="C138" s="6" t="s">
        <v>1197</v>
      </c>
      <c r="D138" s="5" t="s">
        <v>1198</v>
      </c>
      <c r="E138" s="5" t="s">
        <v>47</v>
      </c>
      <c r="F138" s="7" t="s">
        <v>1199</v>
      </c>
      <c r="G138" s="7" t="s">
        <v>1200</v>
      </c>
      <c r="H138" s="5" t="s">
        <v>1201</v>
      </c>
      <c r="I138" s="5" t="s">
        <v>1202</v>
      </c>
      <c r="J138" s="5" t="s">
        <v>176</v>
      </c>
      <c r="K138" s="5" t="s">
        <v>22</v>
      </c>
      <c r="L138" s="5" t="s">
        <v>123</v>
      </c>
      <c r="M138" s="5" t="s">
        <v>73</v>
      </c>
    </row>
    <row r="139" ht="22.5" customHeight="1">
      <c r="A139" s="4">
        <v>46046.94741984954</v>
      </c>
      <c r="B139" s="5" t="s">
        <v>1203</v>
      </c>
      <c r="C139" s="6" t="s">
        <v>1204</v>
      </c>
      <c r="D139" s="5" t="s">
        <v>1205</v>
      </c>
      <c r="E139" s="5" t="s">
        <v>47</v>
      </c>
      <c r="F139" s="7" t="s">
        <v>1206</v>
      </c>
      <c r="G139" s="7" t="s">
        <v>1207</v>
      </c>
      <c r="H139" s="5" t="s">
        <v>1208</v>
      </c>
      <c r="I139" s="5" t="s">
        <v>1209</v>
      </c>
      <c r="J139" s="5" t="s">
        <v>581</v>
      </c>
      <c r="K139" s="5" t="s">
        <v>22</v>
      </c>
      <c r="L139" s="5" t="s">
        <v>847</v>
      </c>
      <c r="M139" s="5" t="s">
        <v>73</v>
      </c>
    </row>
    <row r="140" ht="22.5" customHeight="1">
      <c r="A140" s="4">
        <v>46046.9757665162</v>
      </c>
      <c r="B140" s="5" t="s">
        <v>1210</v>
      </c>
      <c r="C140" s="6" t="s">
        <v>1211</v>
      </c>
      <c r="D140" s="5" t="s">
        <v>1212</v>
      </c>
      <c r="E140" s="5" t="s">
        <v>47</v>
      </c>
      <c r="F140" s="7" t="s">
        <v>1213</v>
      </c>
      <c r="G140" s="7" t="s">
        <v>1214</v>
      </c>
      <c r="H140" s="5" t="s">
        <v>1215</v>
      </c>
      <c r="I140" s="5" t="s">
        <v>1216</v>
      </c>
      <c r="J140" s="5" t="s">
        <v>5</v>
      </c>
      <c r="K140" s="5" t="s">
        <v>32</v>
      </c>
      <c r="L140" s="5" t="s">
        <v>1217</v>
      </c>
      <c r="M140" s="5" t="s">
        <v>1218</v>
      </c>
    </row>
    <row r="141" ht="22.5" customHeight="1">
      <c r="A141" s="4">
        <v>46047.01762503472</v>
      </c>
      <c r="B141" s="5" t="s">
        <v>1219</v>
      </c>
      <c r="C141" s="5">
        <v>1.069066892E9</v>
      </c>
      <c r="D141" s="5" t="s">
        <v>1220</v>
      </c>
      <c r="E141" s="5" t="s">
        <v>116</v>
      </c>
      <c r="F141" s="7" t="s">
        <v>1221</v>
      </c>
      <c r="G141" s="7" t="s">
        <v>1222</v>
      </c>
      <c r="H141" s="5" t="s">
        <v>1223</v>
      </c>
      <c r="I141" s="5" t="s">
        <v>1224</v>
      </c>
      <c r="J141" s="5" t="s">
        <v>581</v>
      </c>
      <c r="K141" s="5" t="s">
        <v>122</v>
      </c>
      <c r="L141" s="5" t="s">
        <v>141</v>
      </c>
      <c r="M141" s="5" t="s">
        <v>112</v>
      </c>
    </row>
    <row r="142" ht="22.5" customHeight="1">
      <c r="A142" s="4">
        <v>46047.07642171296</v>
      </c>
      <c r="B142" s="5" t="s">
        <v>1225</v>
      </c>
      <c r="C142" s="6" t="s">
        <v>1226</v>
      </c>
      <c r="D142" s="5" t="s">
        <v>1227</v>
      </c>
      <c r="E142" s="5" t="s">
        <v>47</v>
      </c>
      <c r="F142" s="7" t="s">
        <v>1228</v>
      </c>
      <c r="G142" s="7" t="s">
        <v>1229</v>
      </c>
      <c r="H142" s="5" t="s">
        <v>1230</v>
      </c>
      <c r="I142" s="5" t="s">
        <v>1231</v>
      </c>
      <c r="J142" s="5" t="s">
        <v>5</v>
      </c>
      <c r="K142" s="5" t="s">
        <v>22</v>
      </c>
      <c r="L142" s="5" t="s">
        <v>52</v>
      </c>
      <c r="M142" s="5" t="s">
        <v>250</v>
      </c>
    </row>
    <row r="143" ht="22.5" customHeight="1">
      <c r="A143" s="4">
        <v>46047.08376795139</v>
      </c>
      <c r="B143" s="5" t="s">
        <v>1232</v>
      </c>
      <c r="C143" s="6" t="s">
        <v>1233</v>
      </c>
      <c r="D143" s="5" t="s">
        <v>1234</v>
      </c>
      <c r="E143" s="5" t="s">
        <v>16</v>
      </c>
      <c r="F143" s="7" t="s">
        <v>1235</v>
      </c>
      <c r="G143" s="7" t="s">
        <v>1236</v>
      </c>
      <c r="H143" s="5" t="s">
        <v>1237</v>
      </c>
      <c r="I143" s="5" t="s">
        <v>1238</v>
      </c>
      <c r="J143" s="5" t="s">
        <v>5</v>
      </c>
      <c r="K143" s="5" t="s">
        <v>32</v>
      </c>
      <c r="L143" s="5" t="s">
        <v>141</v>
      </c>
      <c r="M143" s="5" t="s">
        <v>1239</v>
      </c>
    </row>
    <row r="144" ht="22.5" customHeight="1">
      <c r="A144" s="4">
        <v>46047.29486686343</v>
      </c>
      <c r="B144" s="5" t="s">
        <v>1240</v>
      </c>
      <c r="C144" s="6" t="s">
        <v>1241</v>
      </c>
      <c r="D144" s="5" t="s">
        <v>1242</v>
      </c>
      <c r="E144" s="5" t="s">
        <v>16</v>
      </c>
      <c r="F144" s="7" t="s">
        <v>1243</v>
      </c>
      <c r="G144" s="7" t="s">
        <v>1244</v>
      </c>
      <c r="H144" s="5" t="s">
        <v>1245</v>
      </c>
      <c r="I144" s="5" t="s">
        <v>1246</v>
      </c>
      <c r="J144" s="5" t="s">
        <v>581</v>
      </c>
      <c r="K144" s="5" t="s">
        <v>22</v>
      </c>
      <c r="L144" s="5" t="s">
        <v>177</v>
      </c>
      <c r="M144" s="5" t="s">
        <v>1247</v>
      </c>
    </row>
    <row r="145" ht="22.5" customHeight="1">
      <c r="A145" s="4">
        <v>46047.340425752314</v>
      </c>
      <c r="B145" s="5" t="s">
        <v>1248</v>
      </c>
      <c r="C145" s="6" t="s">
        <v>1249</v>
      </c>
      <c r="D145" s="5" t="s">
        <v>1250</v>
      </c>
      <c r="E145" s="5" t="s">
        <v>16</v>
      </c>
      <c r="F145" s="7" t="s">
        <v>1251</v>
      </c>
      <c r="G145" s="7" t="s">
        <v>1252</v>
      </c>
      <c r="H145" s="5" t="s">
        <v>1253</v>
      </c>
      <c r="I145" s="5" t="s">
        <v>1254</v>
      </c>
      <c r="J145" s="5" t="s">
        <v>5</v>
      </c>
      <c r="K145" s="5" t="s">
        <v>32</v>
      </c>
      <c r="L145" s="5" t="s">
        <v>1255</v>
      </c>
      <c r="M145" s="5" t="s">
        <v>1256</v>
      </c>
    </row>
    <row r="146" ht="22.5" customHeight="1">
      <c r="A146" s="4">
        <v>46047.39598891204</v>
      </c>
      <c r="B146" s="8" t="s">
        <v>1257</v>
      </c>
      <c r="C146" s="6" t="s">
        <v>1258</v>
      </c>
      <c r="D146" s="5" t="s">
        <v>1259</v>
      </c>
      <c r="E146" s="5" t="s">
        <v>16</v>
      </c>
      <c r="F146" s="5" t="s">
        <v>1260</v>
      </c>
      <c r="G146" s="7" t="s">
        <v>1261</v>
      </c>
      <c r="H146" s="8" t="s">
        <v>1262</v>
      </c>
      <c r="I146" s="8" t="s">
        <v>1263</v>
      </c>
      <c r="J146" s="5" t="s">
        <v>1264</v>
      </c>
      <c r="K146" s="5" t="s">
        <v>110</v>
      </c>
      <c r="L146" s="5" t="s">
        <v>123</v>
      </c>
      <c r="M146" s="8" t="s">
        <v>1265</v>
      </c>
    </row>
    <row r="147" ht="22.5" customHeight="1">
      <c r="A147" s="4">
        <v>46047.44271945602</v>
      </c>
      <c r="B147" s="5" t="s">
        <v>1266</v>
      </c>
      <c r="C147" s="6" t="s">
        <v>1267</v>
      </c>
      <c r="D147" s="5" t="s">
        <v>1268</v>
      </c>
      <c r="E147" s="5" t="s">
        <v>16</v>
      </c>
      <c r="F147" s="7" t="s">
        <v>1269</v>
      </c>
      <c r="G147" s="7" t="s">
        <v>1270</v>
      </c>
      <c r="H147" s="5" t="s">
        <v>1271</v>
      </c>
      <c r="I147" s="5" t="s">
        <v>1272</v>
      </c>
      <c r="J147" s="5" t="s">
        <v>1273</v>
      </c>
      <c r="K147" s="5" t="s">
        <v>22</v>
      </c>
      <c r="L147" s="5" t="s">
        <v>532</v>
      </c>
      <c r="M147" s="5" t="s">
        <v>1274</v>
      </c>
    </row>
    <row r="148" ht="22.5" customHeight="1">
      <c r="A148" s="4">
        <v>46047.474975034726</v>
      </c>
      <c r="B148" s="5" t="s">
        <v>1275</v>
      </c>
      <c r="C148" s="6" t="s">
        <v>1276</v>
      </c>
      <c r="D148" s="5" t="s">
        <v>1277</v>
      </c>
      <c r="E148" s="5" t="s">
        <v>47</v>
      </c>
      <c r="F148" s="7" t="s">
        <v>1278</v>
      </c>
      <c r="G148" s="7" t="s">
        <v>1279</v>
      </c>
      <c r="H148" s="5" t="s">
        <v>1280</v>
      </c>
      <c r="I148" s="5" t="s">
        <v>1281</v>
      </c>
      <c r="J148" s="5" t="s">
        <v>21</v>
      </c>
      <c r="K148" s="5" t="s">
        <v>22</v>
      </c>
      <c r="L148" s="5" t="s">
        <v>52</v>
      </c>
      <c r="M148" s="5" t="s">
        <v>1282</v>
      </c>
    </row>
    <row r="149" ht="22.5" customHeight="1">
      <c r="A149" s="4">
        <v>46047.568255335646</v>
      </c>
      <c r="B149" s="5" t="s">
        <v>1283</v>
      </c>
      <c r="C149" s="6" t="s">
        <v>1284</v>
      </c>
      <c r="D149" s="5" t="s">
        <v>1285</v>
      </c>
      <c r="E149" s="5" t="s">
        <v>16</v>
      </c>
      <c r="F149" s="7" t="s">
        <v>1286</v>
      </c>
      <c r="G149" s="7" t="s">
        <v>1287</v>
      </c>
      <c r="H149" s="5" t="s">
        <v>1288</v>
      </c>
      <c r="I149" s="5" t="s">
        <v>1289</v>
      </c>
      <c r="J149" s="5" t="s">
        <v>1290</v>
      </c>
      <c r="K149" s="5" t="s">
        <v>32</v>
      </c>
      <c r="L149" s="5" t="s">
        <v>123</v>
      </c>
      <c r="M149" s="5" t="s">
        <v>652</v>
      </c>
    </row>
    <row r="150" ht="22.5" customHeight="1">
      <c r="A150" s="4">
        <v>46047.575341180556</v>
      </c>
      <c r="B150" s="5" t="s">
        <v>1291</v>
      </c>
      <c r="C150" s="6" t="s">
        <v>1292</v>
      </c>
      <c r="D150" s="5" t="s">
        <v>1293</v>
      </c>
      <c r="E150" s="5" t="s">
        <v>16</v>
      </c>
      <c r="F150" s="7" t="s">
        <v>1294</v>
      </c>
      <c r="G150" s="7" t="s">
        <v>1295</v>
      </c>
      <c r="H150" s="5" t="s">
        <v>1296</v>
      </c>
      <c r="I150" s="5" t="s">
        <v>1297</v>
      </c>
      <c r="J150" s="5" t="s">
        <v>248</v>
      </c>
      <c r="K150" s="5" t="s">
        <v>32</v>
      </c>
      <c r="L150" s="5" t="s">
        <v>1298</v>
      </c>
      <c r="M150" s="5" t="s">
        <v>1299</v>
      </c>
    </row>
    <row r="151" ht="22.5" customHeight="1">
      <c r="A151" s="4">
        <v>46047.600956875</v>
      </c>
      <c r="B151" s="5" t="s">
        <v>1300</v>
      </c>
      <c r="C151" s="6" t="s">
        <v>1301</v>
      </c>
      <c r="D151" s="5" t="s">
        <v>1302</v>
      </c>
      <c r="E151" s="5" t="s">
        <v>116</v>
      </c>
      <c r="F151" s="7" t="s">
        <v>1303</v>
      </c>
      <c r="G151" s="7" t="s">
        <v>1304</v>
      </c>
      <c r="H151" s="5" t="s">
        <v>1305</v>
      </c>
      <c r="I151" s="5" t="s">
        <v>1306</v>
      </c>
      <c r="J151" s="5" t="s">
        <v>1307</v>
      </c>
      <c r="K151" s="5" t="s">
        <v>22</v>
      </c>
      <c r="L151" s="5" t="s">
        <v>408</v>
      </c>
      <c r="M151" s="5" t="s">
        <v>1308</v>
      </c>
    </row>
    <row r="152" ht="22.5" customHeight="1">
      <c r="A152" s="4">
        <v>46047.62202462963</v>
      </c>
      <c r="B152" s="5" t="s">
        <v>1309</v>
      </c>
      <c r="C152" s="6" t="s">
        <v>1301</v>
      </c>
      <c r="D152" s="5" t="s">
        <v>1310</v>
      </c>
      <c r="E152" s="5" t="s">
        <v>116</v>
      </c>
      <c r="F152" s="7" t="s">
        <v>1303</v>
      </c>
      <c r="G152" s="7" t="s">
        <v>1311</v>
      </c>
      <c r="H152" s="5" t="s">
        <v>1305</v>
      </c>
      <c r="I152" s="5" t="s">
        <v>1306</v>
      </c>
      <c r="J152" s="5" t="s">
        <v>5</v>
      </c>
      <c r="K152" s="5" t="s">
        <v>22</v>
      </c>
      <c r="L152" s="5" t="s">
        <v>408</v>
      </c>
      <c r="M152" s="5" t="s">
        <v>1312</v>
      </c>
    </row>
    <row r="153" ht="22.5" customHeight="1">
      <c r="A153" s="4">
        <v>46047.630138611115</v>
      </c>
      <c r="B153" s="5" t="s">
        <v>1313</v>
      </c>
      <c r="C153" s="6" t="s">
        <v>1314</v>
      </c>
      <c r="D153" s="5" t="s">
        <v>1315</v>
      </c>
      <c r="E153" s="5" t="s">
        <v>16</v>
      </c>
      <c r="F153" s="7" t="s">
        <v>1316</v>
      </c>
      <c r="G153" s="7" t="s">
        <v>1317</v>
      </c>
      <c r="H153" s="5" t="s">
        <v>1318</v>
      </c>
      <c r="I153" s="5" t="s">
        <v>1319</v>
      </c>
      <c r="J153" s="5" t="s">
        <v>788</v>
      </c>
      <c r="K153" s="5" t="s">
        <v>32</v>
      </c>
      <c r="L153" s="5" t="s">
        <v>141</v>
      </c>
      <c r="M153" s="5" t="s">
        <v>417</v>
      </c>
    </row>
    <row r="154" ht="22.5" customHeight="1">
      <c r="A154" s="4">
        <v>46047.6406540625</v>
      </c>
      <c r="B154" s="5" t="s">
        <v>1320</v>
      </c>
      <c r="C154" s="6" t="s">
        <v>1321</v>
      </c>
      <c r="D154" s="5" t="s">
        <v>1322</v>
      </c>
      <c r="E154" s="5" t="s">
        <v>16</v>
      </c>
      <c r="F154" s="7" t="s">
        <v>1323</v>
      </c>
      <c r="G154" s="7" t="s">
        <v>1324</v>
      </c>
      <c r="H154" s="5" t="s">
        <v>1325</v>
      </c>
      <c r="I154" s="5" t="s">
        <v>1326</v>
      </c>
      <c r="J154" s="5" t="s">
        <v>1327</v>
      </c>
      <c r="K154" s="5" t="s">
        <v>32</v>
      </c>
      <c r="L154" s="5" t="s">
        <v>532</v>
      </c>
      <c r="M154" s="5" t="s">
        <v>417</v>
      </c>
    </row>
    <row r="155" ht="22.5" customHeight="1">
      <c r="A155" s="4">
        <v>46047.65923109953</v>
      </c>
      <c r="B155" s="5" t="s">
        <v>1328</v>
      </c>
      <c r="C155" s="6" t="s">
        <v>1329</v>
      </c>
      <c r="D155" s="5" t="s">
        <v>1330</v>
      </c>
      <c r="E155" s="5" t="s">
        <v>47</v>
      </c>
      <c r="F155" s="7" t="s">
        <v>1331</v>
      </c>
      <c r="G155" s="7" t="s">
        <v>1332</v>
      </c>
      <c r="H155" s="5" t="s">
        <v>1333</v>
      </c>
      <c r="I155" s="5" t="s">
        <v>1334</v>
      </c>
      <c r="J155" s="5" t="s">
        <v>5</v>
      </c>
      <c r="K155" s="5" t="s">
        <v>22</v>
      </c>
      <c r="L155" s="5" t="s">
        <v>1335</v>
      </c>
      <c r="M155" s="5" t="s">
        <v>573</v>
      </c>
    </row>
    <row r="156" ht="22.5" customHeight="1">
      <c r="A156" s="4">
        <v>46047.71157172453</v>
      </c>
      <c r="B156" s="5" t="s">
        <v>1336</v>
      </c>
      <c r="C156" s="5">
        <v>1.017281928E9</v>
      </c>
      <c r="D156" s="5" t="s">
        <v>1337</v>
      </c>
      <c r="E156" s="5" t="s">
        <v>47</v>
      </c>
      <c r="F156" s="7" t="s">
        <v>1338</v>
      </c>
      <c r="G156" s="7" t="s">
        <v>1339</v>
      </c>
      <c r="H156" s="5" t="s">
        <v>1340</v>
      </c>
      <c r="I156" s="5" t="s">
        <v>1341</v>
      </c>
      <c r="J156" s="5" t="s">
        <v>355</v>
      </c>
      <c r="K156" s="5" t="s">
        <v>110</v>
      </c>
      <c r="L156" s="5" t="s">
        <v>1342</v>
      </c>
      <c r="M156" s="5" t="s">
        <v>1343</v>
      </c>
    </row>
    <row r="157" ht="22.5" customHeight="1">
      <c r="A157" s="4">
        <v>46047.83850834491</v>
      </c>
      <c r="B157" s="8" t="s">
        <v>1344</v>
      </c>
      <c r="C157" s="6" t="s">
        <v>1345</v>
      </c>
      <c r="D157" s="5" t="s">
        <v>1346</v>
      </c>
      <c r="E157" s="5" t="s">
        <v>16</v>
      </c>
      <c r="F157" s="7" t="s">
        <v>1347</v>
      </c>
      <c r="G157" s="7" t="s">
        <v>1348</v>
      </c>
      <c r="H157" s="5" t="s">
        <v>1349</v>
      </c>
      <c r="I157" s="5" t="s">
        <v>1350</v>
      </c>
      <c r="J157" s="5" t="s">
        <v>21</v>
      </c>
      <c r="K157" s="5" t="s">
        <v>32</v>
      </c>
      <c r="L157" s="5" t="s">
        <v>141</v>
      </c>
      <c r="M157" s="5" t="s">
        <v>73</v>
      </c>
    </row>
    <row r="158" ht="22.5" customHeight="1">
      <c r="A158" s="4">
        <v>46047.85638858796</v>
      </c>
      <c r="B158" s="5" t="s">
        <v>1351</v>
      </c>
      <c r="C158" s="6" t="s">
        <v>1352</v>
      </c>
      <c r="D158" s="5" t="s">
        <v>1353</v>
      </c>
      <c r="E158" s="5" t="s">
        <v>16</v>
      </c>
      <c r="F158" s="7" t="s">
        <v>1354</v>
      </c>
      <c r="G158" s="7" t="s">
        <v>1355</v>
      </c>
      <c r="H158" s="5" t="s">
        <v>1356</v>
      </c>
      <c r="I158" s="5" t="s">
        <v>1357</v>
      </c>
      <c r="J158" s="5" t="s">
        <v>1358</v>
      </c>
      <c r="K158" s="5" t="s">
        <v>32</v>
      </c>
      <c r="L158" s="5" t="s">
        <v>91</v>
      </c>
      <c r="M158" s="5" t="s">
        <v>43</v>
      </c>
    </row>
    <row r="159" ht="22.5" customHeight="1">
      <c r="A159" s="4">
        <v>46047.86609927083</v>
      </c>
      <c r="B159" s="5" t="s">
        <v>1359</v>
      </c>
      <c r="C159" s="6" t="s">
        <v>1360</v>
      </c>
      <c r="D159" s="5" t="s">
        <v>1361</v>
      </c>
      <c r="E159" s="5" t="s">
        <v>47</v>
      </c>
      <c r="F159" s="7" t="s">
        <v>1362</v>
      </c>
      <c r="G159" s="7" t="s">
        <v>1363</v>
      </c>
      <c r="H159" s="5" t="s">
        <v>1364</v>
      </c>
      <c r="I159" s="5" t="s">
        <v>1365</v>
      </c>
      <c r="J159" s="5" t="s">
        <v>1307</v>
      </c>
      <c r="K159" s="5" t="s">
        <v>32</v>
      </c>
      <c r="L159" s="5" t="s">
        <v>316</v>
      </c>
      <c r="M159" s="5" t="s">
        <v>1366</v>
      </c>
    </row>
    <row r="160" ht="22.5" customHeight="1">
      <c r="A160" s="4">
        <v>46047.935357291666</v>
      </c>
      <c r="B160" s="5" t="s">
        <v>1367</v>
      </c>
      <c r="C160" s="6" t="s">
        <v>1368</v>
      </c>
      <c r="D160" s="5" t="s">
        <v>1369</v>
      </c>
      <c r="E160" s="5" t="s">
        <v>116</v>
      </c>
      <c r="F160" s="7" t="s">
        <v>1370</v>
      </c>
      <c r="G160" s="7" t="s">
        <v>1371</v>
      </c>
      <c r="H160" s="5" t="s">
        <v>1372</v>
      </c>
      <c r="I160" s="5" t="s">
        <v>1373</v>
      </c>
      <c r="J160" s="5" t="s">
        <v>1374</v>
      </c>
      <c r="K160" s="5" t="s">
        <v>22</v>
      </c>
      <c r="L160" s="5" t="s">
        <v>1375</v>
      </c>
      <c r="M160" s="5" t="s">
        <v>1376</v>
      </c>
    </row>
    <row r="161" ht="22.5" customHeight="1">
      <c r="A161" s="4">
        <v>46048.062137824076</v>
      </c>
      <c r="B161" s="5" t="s">
        <v>1377</v>
      </c>
      <c r="C161" s="6" t="s">
        <v>1378</v>
      </c>
      <c r="D161" s="5" t="s">
        <v>1379</v>
      </c>
      <c r="E161" s="5" t="s">
        <v>16</v>
      </c>
      <c r="F161" s="7" t="s">
        <v>1380</v>
      </c>
      <c r="G161" s="7" t="s">
        <v>1381</v>
      </c>
      <c r="H161" s="5" t="s">
        <v>1382</v>
      </c>
      <c r="I161" s="5" t="s">
        <v>1383</v>
      </c>
      <c r="J161" s="5" t="s">
        <v>176</v>
      </c>
      <c r="K161" s="5" t="s">
        <v>32</v>
      </c>
      <c r="L161" s="5" t="s">
        <v>1384</v>
      </c>
      <c r="M161" s="8" t="s">
        <v>1385</v>
      </c>
    </row>
    <row r="162" ht="22.5" customHeight="1">
      <c r="A162" s="4">
        <v>46048.18294021991</v>
      </c>
      <c r="B162" s="8" t="s">
        <v>1386</v>
      </c>
      <c r="C162" s="6" t="s">
        <v>1387</v>
      </c>
      <c r="D162" s="5" t="s">
        <v>1388</v>
      </c>
      <c r="E162" s="5" t="s">
        <v>16</v>
      </c>
      <c r="F162" s="7" t="s">
        <v>1389</v>
      </c>
      <c r="G162" s="7" t="s">
        <v>1390</v>
      </c>
      <c r="H162" s="5" t="s">
        <v>1391</v>
      </c>
      <c r="I162" s="5" t="s">
        <v>1392</v>
      </c>
      <c r="J162" s="5" t="s">
        <v>21</v>
      </c>
      <c r="K162" s="5" t="s">
        <v>32</v>
      </c>
      <c r="L162" s="5" t="s">
        <v>1393</v>
      </c>
      <c r="M162" s="5" t="s">
        <v>112</v>
      </c>
    </row>
    <row r="163" ht="22.5" customHeight="1">
      <c r="A163" s="4">
        <v>46048.29739824074</v>
      </c>
      <c r="B163" s="5" t="s">
        <v>1394</v>
      </c>
      <c r="C163" s="6" t="s">
        <v>1395</v>
      </c>
      <c r="D163" s="5" t="s">
        <v>1396</v>
      </c>
      <c r="E163" s="5" t="s">
        <v>16</v>
      </c>
      <c r="F163" s="7" t="s">
        <v>1397</v>
      </c>
      <c r="G163" s="7" t="s">
        <v>1398</v>
      </c>
      <c r="H163" s="5" t="s">
        <v>1399</v>
      </c>
      <c r="I163" s="5" t="s">
        <v>1400</v>
      </c>
      <c r="J163" s="5" t="s">
        <v>149</v>
      </c>
      <c r="K163" s="5" t="s">
        <v>32</v>
      </c>
      <c r="L163" s="5" t="s">
        <v>141</v>
      </c>
      <c r="M163" s="5" t="s">
        <v>573</v>
      </c>
    </row>
    <row r="164" ht="22.5" customHeight="1">
      <c r="A164" s="4">
        <v>46048.493769560184</v>
      </c>
      <c r="B164" s="5" t="s">
        <v>1401</v>
      </c>
      <c r="C164" s="6" t="s">
        <v>1402</v>
      </c>
      <c r="D164" s="5" t="s">
        <v>1403</v>
      </c>
      <c r="E164" s="5" t="s">
        <v>16</v>
      </c>
      <c r="F164" s="7" t="s">
        <v>1404</v>
      </c>
      <c r="G164" s="7" t="s">
        <v>1405</v>
      </c>
      <c r="H164" s="5" t="s">
        <v>1406</v>
      </c>
      <c r="I164" s="5" t="s">
        <v>1407</v>
      </c>
      <c r="J164" s="5" t="s">
        <v>1408</v>
      </c>
      <c r="K164" s="5" t="s">
        <v>22</v>
      </c>
      <c r="L164" s="5" t="s">
        <v>123</v>
      </c>
      <c r="M164" s="5" t="s">
        <v>1409</v>
      </c>
    </row>
    <row r="165" ht="22.5" customHeight="1">
      <c r="A165" s="4">
        <v>46048.61002630787</v>
      </c>
      <c r="B165" s="5" t="s">
        <v>1410</v>
      </c>
      <c r="C165" s="6" t="s">
        <v>1411</v>
      </c>
      <c r="D165" s="5" t="s">
        <v>1412</v>
      </c>
      <c r="E165" s="5" t="s">
        <v>116</v>
      </c>
      <c r="F165" s="7" t="s">
        <v>1413</v>
      </c>
      <c r="G165" s="7" t="s">
        <v>1414</v>
      </c>
      <c r="H165" s="5" t="s">
        <v>1415</v>
      </c>
      <c r="I165" s="5" t="s">
        <v>1416</v>
      </c>
      <c r="J165" s="5" t="s">
        <v>31</v>
      </c>
      <c r="K165" s="5" t="s">
        <v>32</v>
      </c>
      <c r="L165" s="5" t="s">
        <v>1417</v>
      </c>
      <c r="M165" s="5" t="s">
        <v>433</v>
      </c>
    </row>
    <row r="166" ht="22.5" customHeight="1">
      <c r="A166" s="4">
        <v>46048.61881814815</v>
      </c>
      <c r="B166" s="5" t="s">
        <v>1418</v>
      </c>
      <c r="C166" s="6" t="s">
        <v>1419</v>
      </c>
      <c r="D166" s="5" t="s">
        <v>1420</v>
      </c>
      <c r="E166" s="5" t="s">
        <v>16</v>
      </c>
      <c r="F166" s="7" t="s">
        <v>1421</v>
      </c>
      <c r="G166" s="7" t="s">
        <v>1422</v>
      </c>
      <c r="H166" s="5" t="s">
        <v>1423</v>
      </c>
      <c r="I166" s="5" t="s">
        <v>1424</v>
      </c>
      <c r="J166" s="5" t="s">
        <v>5</v>
      </c>
      <c r="K166" s="5" t="s">
        <v>122</v>
      </c>
      <c r="L166" s="5" t="s">
        <v>1425</v>
      </c>
      <c r="M166" s="5" t="s">
        <v>1426</v>
      </c>
    </row>
    <row r="167" ht="22.5" customHeight="1">
      <c r="A167" s="4">
        <v>46048.705657060185</v>
      </c>
      <c r="B167" s="5" t="s">
        <v>285</v>
      </c>
      <c r="C167" s="6" t="s">
        <v>286</v>
      </c>
      <c r="D167" s="5" t="s">
        <v>287</v>
      </c>
      <c r="E167" s="5" t="s">
        <v>16</v>
      </c>
      <c r="F167" s="7" t="s">
        <v>288</v>
      </c>
      <c r="G167" s="7" t="s">
        <v>1427</v>
      </c>
      <c r="H167" s="5" t="s">
        <v>1428</v>
      </c>
      <c r="I167" s="5" t="s">
        <v>1429</v>
      </c>
      <c r="J167" s="5" t="s">
        <v>5</v>
      </c>
      <c r="K167" s="5" t="s">
        <v>32</v>
      </c>
      <c r="L167" s="5" t="s">
        <v>141</v>
      </c>
      <c r="M167" s="5" t="s">
        <v>292</v>
      </c>
    </row>
    <row r="168" ht="22.5" customHeight="1">
      <c r="A168" s="4">
        <v>46048.71100436343</v>
      </c>
      <c r="B168" s="5" t="s">
        <v>1430</v>
      </c>
      <c r="C168" s="6" t="s">
        <v>1431</v>
      </c>
      <c r="D168" s="5" t="s">
        <v>1432</v>
      </c>
      <c r="E168" s="5" t="s">
        <v>47</v>
      </c>
      <c r="F168" s="7" t="s">
        <v>1433</v>
      </c>
      <c r="G168" s="7" t="s">
        <v>1434</v>
      </c>
      <c r="H168" s="5" t="s">
        <v>1435</v>
      </c>
      <c r="I168" s="5" t="s">
        <v>1436</v>
      </c>
      <c r="J168" s="5" t="s">
        <v>248</v>
      </c>
      <c r="K168" s="5" t="s">
        <v>22</v>
      </c>
      <c r="L168" s="5" t="s">
        <v>141</v>
      </c>
      <c r="M168" s="5" t="s">
        <v>20</v>
      </c>
    </row>
    <row r="169" ht="22.5" customHeight="1">
      <c r="A169" s="4">
        <v>46048.73525947917</v>
      </c>
      <c r="B169" s="5" t="s">
        <v>1437</v>
      </c>
      <c r="C169" s="6" t="s">
        <v>1438</v>
      </c>
      <c r="D169" s="5" t="s">
        <v>1439</v>
      </c>
      <c r="E169" s="5" t="s">
        <v>47</v>
      </c>
      <c r="F169" s="7" t="s">
        <v>1440</v>
      </c>
      <c r="G169" s="7" t="s">
        <v>1441</v>
      </c>
      <c r="H169" s="5" t="s">
        <v>1442</v>
      </c>
      <c r="I169" s="5" t="s">
        <v>1443</v>
      </c>
      <c r="J169" s="5" t="s">
        <v>1444</v>
      </c>
      <c r="K169" s="5" t="s">
        <v>32</v>
      </c>
      <c r="L169" s="5" t="s">
        <v>532</v>
      </c>
      <c r="M169" s="5" t="s">
        <v>1445</v>
      </c>
    </row>
    <row r="170" ht="22.5" customHeight="1">
      <c r="A170" s="4">
        <v>46048.75423539351</v>
      </c>
      <c r="B170" s="5" t="s">
        <v>1446</v>
      </c>
      <c r="C170" s="6" t="s">
        <v>1447</v>
      </c>
      <c r="D170" s="5" t="s">
        <v>1448</v>
      </c>
      <c r="E170" s="5" t="s">
        <v>47</v>
      </c>
      <c r="F170" s="7" t="s">
        <v>1449</v>
      </c>
      <c r="G170" s="7" t="s">
        <v>1450</v>
      </c>
      <c r="H170" s="5" t="s">
        <v>1451</v>
      </c>
      <c r="I170" s="5" t="s">
        <v>1452</v>
      </c>
      <c r="J170" s="5" t="s">
        <v>1453</v>
      </c>
      <c r="K170" s="5" t="s">
        <v>110</v>
      </c>
      <c r="L170" s="5" t="s">
        <v>1454</v>
      </c>
      <c r="M170" s="5" t="s">
        <v>830</v>
      </c>
    </row>
    <row r="171" ht="22.5" customHeight="1">
      <c r="A171" s="4">
        <v>46048.76535582176</v>
      </c>
      <c r="B171" s="5" t="s">
        <v>1455</v>
      </c>
      <c r="C171" s="6" t="s">
        <v>1456</v>
      </c>
      <c r="D171" s="5" t="s">
        <v>1457</v>
      </c>
      <c r="E171" s="5" t="s">
        <v>16</v>
      </c>
      <c r="F171" s="7" t="s">
        <v>1458</v>
      </c>
      <c r="G171" s="7" t="s">
        <v>1459</v>
      </c>
      <c r="H171" s="5" t="s">
        <v>1460</v>
      </c>
      <c r="I171" s="5" t="s">
        <v>1461</v>
      </c>
      <c r="J171" s="5" t="s">
        <v>149</v>
      </c>
      <c r="K171" s="5" t="s">
        <v>32</v>
      </c>
      <c r="L171" s="5" t="s">
        <v>1462</v>
      </c>
      <c r="M171" s="5" t="s">
        <v>73</v>
      </c>
    </row>
    <row r="172" ht="22.5" customHeight="1">
      <c r="A172" s="4">
        <v>46048.85378701389</v>
      </c>
      <c r="B172" s="5" t="s">
        <v>1463</v>
      </c>
      <c r="C172" s="6" t="s">
        <v>1464</v>
      </c>
      <c r="D172" s="5" t="s">
        <v>1465</v>
      </c>
      <c r="E172" s="5" t="s">
        <v>116</v>
      </c>
      <c r="F172" s="7" t="s">
        <v>1466</v>
      </c>
      <c r="G172" s="7" t="s">
        <v>1467</v>
      </c>
      <c r="H172" s="8" t="s">
        <v>1468</v>
      </c>
      <c r="I172" s="8" t="s">
        <v>1469</v>
      </c>
      <c r="J172" s="5" t="s">
        <v>149</v>
      </c>
      <c r="K172" s="5" t="s">
        <v>22</v>
      </c>
      <c r="L172" s="5" t="s">
        <v>1470</v>
      </c>
      <c r="M172" s="8" t="s">
        <v>1471</v>
      </c>
    </row>
    <row r="173" ht="22.5" customHeight="1">
      <c r="A173" s="4">
        <v>46048.92966708333</v>
      </c>
      <c r="B173" s="5" t="s">
        <v>1472</v>
      </c>
      <c r="C173" s="6" t="s">
        <v>1473</v>
      </c>
      <c r="D173" s="5" t="s">
        <v>1474</v>
      </c>
      <c r="E173" s="5" t="s">
        <v>47</v>
      </c>
      <c r="F173" s="7" t="s">
        <v>1475</v>
      </c>
      <c r="G173" s="7" t="s">
        <v>1476</v>
      </c>
      <c r="H173" s="5" t="s">
        <v>1477</v>
      </c>
      <c r="I173" s="5" t="s">
        <v>1478</v>
      </c>
      <c r="J173" s="5" t="s">
        <v>149</v>
      </c>
      <c r="K173" s="5" t="s">
        <v>32</v>
      </c>
      <c r="L173" s="5" t="s">
        <v>123</v>
      </c>
      <c r="M173" s="5" t="s">
        <v>43</v>
      </c>
    </row>
    <row r="174" ht="22.5" customHeight="1">
      <c r="A174" s="4">
        <v>46048.945838078704</v>
      </c>
      <c r="B174" s="5" t="s">
        <v>1479</v>
      </c>
      <c r="C174" s="6" t="s">
        <v>1480</v>
      </c>
      <c r="D174" s="5" t="s">
        <v>1481</v>
      </c>
      <c r="E174" s="5" t="s">
        <v>47</v>
      </c>
      <c r="F174" s="7" t="s">
        <v>1482</v>
      </c>
      <c r="G174" s="7" t="s">
        <v>1483</v>
      </c>
      <c r="H174" s="5" t="s">
        <v>1484</v>
      </c>
      <c r="I174" s="5" t="s">
        <v>1485</v>
      </c>
      <c r="J174" s="5" t="s">
        <v>1486</v>
      </c>
      <c r="K174" s="5" t="s">
        <v>22</v>
      </c>
      <c r="L174" s="5" t="s">
        <v>1487</v>
      </c>
      <c r="M174" s="5" t="s">
        <v>830</v>
      </c>
    </row>
    <row r="175" ht="22.5" customHeight="1">
      <c r="A175" s="4">
        <v>46048.947918680555</v>
      </c>
      <c r="B175" s="5" t="s">
        <v>1488</v>
      </c>
      <c r="C175" s="5" t="s">
        <v>1489</v>
      </c>
      <c r="D175" s="5" t="s">
        <v>1490</v>
      </c>
      <c r="E175" s="5" t="s">
        <v>16</v>
      </c>
      <c r="F175" s="7" t="s">
        <v>1491</v>
      </c>
      <c r="G175" s="7" t="s">
        <v>1492</v>
      </c>
      <c r="H175" s="5" t="s">
        <v>1493</v>
      </c>
      <c r="I175" s="5" t="s">
        <v>1494</v>
      </c>
      <c r="J175" s="5" t="s">
        <v>1495</v>
      </c>
      <c r="K175" s="5" t="s">
        <v>32</v>
      </c>
      <c r="L175" s="5" t="s">
        <v>123</v>
      </c>
      <c r="M175" s="5" t="s">
        <v>1496</v>
      </c>
    </row>
    <row r="176" ht="22.5" customHeight="1">
      <c r="A176" s="4">
        <v>46048.960273819444</v>
      </c>
      <c r="B176" s="5" t="s">
        <v>1497</v>
      </c>
      <c r="C176" s="5" t="s">
        <v>1498</v>
      </c>
      <c r="D176" s="5" t="s">
        <v>1499</v>
      </c>
      <c r="E176" s="5" t="s">
        <v>16</v>
      </c>
      <c r="F176" s="7" t="s">
        <v>1500</v>
      </c>
      <c r="G176" s="7" t="s">
        <v>1501</v>
      </c>
      <c r="H176" s="5" t="s">
        <v>1502</v>
      </c>
      <c r="I176" s="5" t="s">
        <v>1503</v>
      </c>
      <c r="J176" s="5" t="s">
        <v>21</v>
      </c>
      <c r="K176" s="5" t="s">
        <v>32</v>
      </c>
      <c r="L176" s="5" t="s">
        <v>141</v>
      </c>
      <c r="M176" s="5" t="s">
        <v>830</v>
      </c>
    </row>
    <row r="177" ht="22.5" customHeight="1">
      <c r="A177" s="4">
        <v>46048.965747118054</v>
      </c>
      <c r="B177" s="5" t="s">
        <v>1504</v>
      </c>
      <c r="C177" s="6" t="s">
        <v>1505</v>
      </c>
      <c r="D177" s="5" t="s">
        <v>1506</v>
      </c>
      <c r="E177" s="5" t="s">
        <v>16</v>
      </c>
      <c r="F177" s="7" t="s">
        <v>1507</v>
      </c>
      <c r="G177" s="7" t="s">
        <v>1508</v>
      </c>
      <c r="H177" s="5" t="s">
        <v>1509</v>
      </c>
      <c r="I177" s="5" t="s">
        <v>1510</v>
      </c>
      <c r="J177" s="5" t="s">
        <v>5</v>
      </c>
      <c r="K177" s="5" t="s">
        <v>32</v>
      </c>
      <c r="L177" s="5" t="s">
        <v>52</v>
      </c>
      <c r="M177" s="5" t="s">
        <v>417</v>
      </c>
    </row>
    <row r="178" ht="22.5" customHeight="1">
      <c r="A178" s="4">
        <v>46048.97902731481</v>
      </c>
      <c r="B178" s="5" t="s">
        <v>1511</v>
      </c>
      <c r="C178" s="6" t="s">
        <v>1512</v>
      </c>
      <c r="D178" s="5" t="s">
        <v>1513</v>
      </c>
      <c r="E178" s="5" t="s">
        <v>16</v>
      </c>
      <c r="F178" s="7" t="s">
        <v>1514</v>
      </c>
      <c r="G178" s="7" t="s">
        <v>1515</v>
      </c>
      <c r="H178" s="5" t="s">
        <v>1516</v>
      </c>
      <c r="I178" s="5" t="s">
        <v>1517</v>
      </c>
      <c r="J178" s="5" t="s">
        <v>1518</v>
      </c>
      <c r="K178" s="5" t="s">
        <v>122</v>
      </c>
      <c r="L178" s="5" t="s">
        <v>1519</v>
      </c>
      <c r="M178" s="5" t="s">
        <v>1520</v>
      </c>
    </row>
    <row r="179" ht="22.5" customHeight="1">
      <c r="A179" s="4">
        <v>46049.505941724536</v>
      </c>
      <c r="B179" s="5" t="s">
        <v>1521</v>
      </c>
      <c r="C179" s="6" t="s">
        <v>1522</v>
      </c>
      <c r="D179" s="5" t="s">
        <v>1523</v>
      </c>
      <c r="E179" s="5" t="s">
        <v>16</v>
      </c>
      <c r="F179" s="7" t="s">
        <v>1524</v>
      </c>
      <c r="G179" s="7" t="s">
        <v>1525</v>
      </c>
      <c r="H179" s="5" t="s">
        <v>1526</v>
      </c>
      <c r="I179" s="5" t="s">
        <v>1527</v>
      </c>
      <c r="J179" s="5" t="s">
        <v>1528</v>
      </c>
      <c r="K179" s="5" t="s">
        <v>32</v>
      </c>
      <c r="L179" s="5" t="s">
        <v>123</v>
      </c>
      <c r="M179" s="5" t="s">
        <v>73</v>
      </c>
    </row>
    <row r="180" ht="22.5" customHeight="1">
      <c r="A180" s="4">
        <v>46049.509646377315</v>
      </c>
      <c r="B180" s="5" t="s">
        <v>1529</v>
      </c>
      <c r="C180" s="6" t="s">
        <v>1530</v>
      </c>
      <c r="D180" s="5" t="s">
        <v>1531</v>
      </c>
      <c r="E180" s="5" t="s">
        <v>16</v>
      </c>
      <c r="F180" s="7" t="s">
        <v>1532</v>
      </c>
      <c r="G180" s="7" t="s">
        <v>1533</v>
      </c>
      <c r="H180" s="5" t="s">
        <v>1534</v>
      </c>
      <c r="I180" s="5" t="s">
        <v>1535</v>
      </c>
      <c r="J180" s="5" t="s">
        <v>248</v>
      </c>
      <c r="K180" s="5" t="s">
        <v>32</v>
      </c>
      <c r="L180" s="5" t="s">
        <v>1536</v>
      </c>
      <c r="M180" s="5" t="s">
        <v>1537</v>
      </c>
    </row>
    <row r="181" ht="22.5" customHeight="1">
      <c r="A181" s="4">
        <v>46049.582564675926</v>
      </c>
      <c r="B181" s="5" t="s">
        <v>1538</v>
      </c>
      <c r="C181" s="6" t="s">
        <v>1539</v>
      </c>
      <c r="D181" s="5" t="s">
        <v>1540</v>
      </c>
      <c r="E181" s="5" t="s">
        <v>16</v>
      </c>
      <c r="F181" s="5" t="s">
        <v>1541</v>
      </c>
      <c r="G181" s="7" t="s">
        <v>1542</v>
      </c>
      <c r="H181" s="5" t="s">
        <v>1543</v>
      </c>
      <c r="I181" s="5" t="s">
        <v>1544</v>
      </c>
      <c r="J181" s="5" t="s">
        <v>1545</v>
      </c>
      <c r="K181" s="5" t="s">
        <v>32</v>
      </c>
      <c r="L181" s="5" t="s">
        <v>141</v>
      </c>
      <c r="M181" s="5" t="s">
        <v>1546</v>
      </c>
    </row>
    <row r="182" ht="22.5" customHeight="1">
      <c r="A182" s="4">
        <v>46049.58899538194</v>
      </c>
      <c r="B182" s="8" t="s">
        <v>1547</v>
      </c>
      <c r="C182" s="6" t="s">
        <v>1548</v>
      </c>
      <c r="D182" s="5" t="s">
        <v>1549</v>
      </c>
      <c r="E182" s="5" t="s">
        <v>16</v>
      </c>
      <c r="F182" s="7" t="s">
        <v>1550</v>
      </c>
      <c r="G182" s="7" t="s">
        <v>1551</v>
      </c>
      <c r="H182" s="8" t="s">
        <v>1552</v>
      </c>
      <c r="I182" s="8" t="s">
        <v>1553</v>
      </c>
      <c r="J182" s="8" t="s">
        <v>1554</v>
      </c>
      <c r="K182" s="5" t="s">
        <v>32</v>
      </c>
      <c r="L182" s="5" t="s">
        <v>141</v>
      </c>
      <c r="M182" s="5" t="s">
        <v>1555</v>
      </c>
    </row>
    <row r="183" ht="22.5" customHeight="1">
      <c r="A183" s="4">
        <v>46049.63771225694</v>
      </c>
      <c r="B183" s="5" t="s">
        <v>1556</v>
      </c>
      <c r="C183" s="6" t="s">
        <v>1557</v>
      </c>
      <c r="D183" s="5" t="s">
        <v>1558</v>
      </c>
      <c r="E183" s="5" t="s">
        <v>16</v>
      </c>
      <c r="F183" s="7" t="s">
        <v>1559</v>
      </c>
      <c r="G183" s="7" t="s">
        <v>1560</v>
      </c>
      <c r="H183" s="5" t="s">
        <v>1561</v>
      </c>
      <c r="I183" s="5" t="s">
        <v>1562</v>
      </c>
      <c r="J183" s="5" t="s">
        <v>1563</v>
      </c>
      <c r="K183" s="5" t="s">
        <v>32</v>
      </c>
      <c r="L183" s="5" t="s">
        <v>1564</v>
      </c>
      <c r="M183" s="5" t="s">
        <v>1565</v>
      </c>
    </row>
    <row r="184" ht="22.5" customHeight="1">
      <c r="A184" s="4">
        <v>46049.69471277778</v>
      </c>
      <c r="B184" s="5" t="s">
        <v>1566</v>
      </c>
      <c r="C184" s="6" t="s">
        <v>1567</v>
      </c>
      <c r="D184" s="5" t="s">
        <v>1568</v>
      </c>
      <c r="E184" s="5" t="s">
        <v>16</v>
      </c>
      <c r="F184" s="7" t="s">
        <v>1569</v>
      </c>
      <c r="G184" s="7" t="s">
        <v>1570</v>
      </c>
      <c r="H184" s="5" t="s">
        <v>1571</v>
      </c>
      <c r="I184" s="8" t="s">
        <v>1572</v>
      </c>
      <c r="J184" s="5" t="s">
        <v>21</v>
      </c>
      <c r="K184" s="5" t="s">
        <v>32</v>
      </c>
      <c r="L184" s="5" t="s">
        <v>100</v>
      </c>
      <c r="M184" s="5" t="s">
        <v>112</v>
      </c>
    </row>
    <row r="185" ht="22.5" customHeight="1">
      <c r="A185" s="4">
        <v>46049.7532819676</v>
      </c>
      <c r="B185" s="8" t="s">
        <v>1573</v>
      </c>
      <c r="C185" s="6" t="s">
        <v>1574</v>
      </c>
      <c r="D185" s="5" t="s">
        <v>1575</v>
      </c>
      <c r="E185" s="5" t="s">
        <v>47</v>
      </c>
      <c r="F185" s="8" t="s">
        <v>1576</v>
      </c>
      <c r="G185" s="7" t="s">
        <v>1577</v>
      </c>
      <c r="H185" s="5" t="s">
        <v>1578</v>
      </c>
      <c r="I185" s="5" t="s">
        <v>1579</v>
      </c>
      <c r="J185" s="5" t="s">
        <v>581</v>
      </c>
      <c r="K185" s="5" t="s">
        <v>32</v>
      </c>
      <c r="L185" s="5" t="s">
        <v>907</v>
      </c>
      <c r="M185" s="5" t="s">
        <v>73</v>
      </c>
    </row>
    <row r="186" ht="22.5" customHeight="1">
      <c r="A186" s="4">
        <v>46049.798515532406</v>
      </c>
      <c r="B186" s="5" t="s">
        <v>1580</v>
      </c>
      <c r="C186" s="6" t="s">
        <v>1581</v>
      </c>
      <c r="D186" s="5" t="s">
        <v>1582</v>
      </c>
      <c r="E186" s="5" t="s">
        <v>16</v>
      </c>
      <c r="F186" s="7" t="s">
        <v>1583</v>
      </c>
      <c r="G186" s="7" t="s">
        <v>1584</v>
      </c>
      <c r="H186" s="5" t="s">
        <v>1585</v>
      </c>
      <c r="I186" s="5" t="s">
        <v>1586</v>
      </c>
      <c r="J186" s="5" t="s">
        <v>1587</v>
      </c>
      <c r="K186" s="5" t="s">
        <v>22</v>
      </c>
      <c r="L186" s="5" t="s">
        <v>532</v>
      </c>
      <c r="M186" s="5" t="s">
        <v>1588</v>
      </c>
    </row>
    <row r="187" ht="22.5" customHeight="1">
      <c r="A187" s="4">
        <v>46050.11798565972</v>
      </c>
      <c r="B187" s="5" t="s">
        <v>1589</v>
      </c>
      <c r="C187" s="6" t="s">
        <v>1590</v>
      </c>
      <c r="D187" s="5" t="s">
        <v>1591</v>
      </c>
      <c r="E187" s="5" t="s">
        <v>16</v>
      </c>
      <c r="F187" s="7" t="s">
        <v>1592</v>
      </c>
      <c r="G187" s="7" t="s">
        <v>1593</v>
      </c>
      <c r="H187" s="5" t="s">
        <v>1594</v>
      </c>
      <c r="I187" s="5" t="s">
        <v>1594</v>
      </c>
      <c r="J187" s="5" t="s">
        <v>1595</v>
      </c>
      <c r="K187" s="5" t="s">
        <v>32</v>
      </c>
      <c r="L187" s="5" t="s">
        <v>123</v>
      </c>
      <c r="M187" s="5" t="s">
        <v>73</v>
      </c>
    </row>
    <row r="188" ht="22.5" customHeight="1">
      <c r="A188" s="4">
        <v>46050.269096539356</v>
      </c>
      <c r="B188" s="5" t="s">
        <v>1596</v>
      </c>
      <c r="C188" s="6" t="s">
        <v>940</v>
      </c>
      <c r="D188" s="5" t="s">
        <v>1597</v>
      </c>
      <c r="E188" s="5" t="s">
        <v>47</v>
      </c>
      <c r="F188" s="7" t="s">
        <v>1598</v>
      </c>
      <c r="G188" s="7" t="s">
        <v>1599</v>
      </c>
      <c r="H188" s="5" t="s">
        <v>1600</v>
      </c>
      <c r="I188" s="5" t="s">
        <v>1601</v>
      </c>
      <c r="J188" s="5" t="s">
        <v>1602</v>
      </c>
      <c r="K188" s="5" t="s">
        <v>32</v>
      </c>
      <c r="L188" s="5" t="s">
        <v>1603</v>
      </c>
      <c r="M188" s="5" t="s">
        <v>34</v>
      </c>
    </row>
    <row r="189" ht="22.5" customHeight="1">
      <c r="A189" s="4">
        <v>46050.62717261574</v>
      </c>
      <c r="B189" s="5" t="s">
        <v>1604</v>
      </c>
      <c r="C189" s="6" t="s">
        <v>1605</v>
      </c>
      <c r="D189" s="5" t="s">
        <v>1606</v>
      </c>
      <c r="E189" s="5" t="s">
        <v>16</v>
      </c>
      <c r="F189" s="7" t="s">
        <v>1607</v>
      </c>
      <c r="G189" s="7" t="s">
        <v>1608</v>
      </c>
      <c r="H189" s="5" t="s">
        <v>1609</v>
      </c>
      <c r="I189" s="5" t="s">
        <v>1610</v>
      </c>
      <c r="J189" s="5" t="s">
        <v>5</v>
      </c>
      <c r="K189" s="5" t="s">
        <v>122</v>
      </c>
      <c r="L189" s="5" t="s">
        <v>1131</v>
      </c>
      <c r="M189" s="5" t="s">
        <v>1611</v>
      </c>
    </row>
    <row r="190" ht="22.5" customHeight="1">
      <c r="A190" s="4">
        <v>46050.64531304398</v>
      </c>
      <c r="B190" s="5" t="s">
        <v>1612</v>
      </c>
      <c r="C190" s="6" t="s">
        <v>1045</v>
      </c>
      <c r="D190" s="5" t="s">
        <v>1613</v>
      </c>
      <c r="E190" s="5" t="s">
        <v>47</v>
      </c>
      <c r="F190" s="5" t="s">
        <v>1047</v>
      </c>
      <c r="G190" s="7" t="s">
        <v>1614</v>
      </c>
      <c r="H190" s="5" t="s">
        <v>1615</v>
      </c>
      <c r="I190" s="5" t="s">
        <v>1616</v>
      </c>
      <c r="J190" s="5" t="s">
        <v>1617</v>
      </c>
      <c r="K190" s="5" t="s">
        <v>32</v>
      </c>
      <c r="L190" s="5" t="s">
        <v>408</v>
      </c>
      <c r="M190" s="5" t="s">
        <v>1618</v>
      </c>
    </row>
    <row r="191" ht="22.5" customHeight="1">
      <c r="A191" s="4">
        <v>46050.691408136576</v>
      </c>
      <c r="B191" s="5" t="s">
        <v>1619</v>
      </c>
      <c r="C191" s="6" t="s">
        <v>1620</v>
      </c>
      <c r="D191" s="5" t="s">
        <v>1621</v>
      </c>
      <c r="E191" s="5" t="s">
        <v>16</v>
      </c>
      <c r="F191" s="7" t="s">
        <v>1622</v>
      </c>
      <c r="G191" s="7" t="s">
        <v>1623</v>
      </c>
      <c r="H191" s="5" t="s">
        <v>1624</v>
      </c>
      <c r="I191" s="5" t="s">
        <v>1625</v>
      </c>
      <c r="J191" s="5" t="s">
        <v>21</v>
      </c>
      <c r="K191" s="5" t="s">
        <v>32</v>
      </c>
      <c r="L191" s="5" t="s">
        <v>1626</v>
      </c>
      <c r="M191" s="5" t="s">
        <v>1627</v>
      </c>
    </row>
    <row r="192" ht="22.5" customHeight="1">
      <c r="A192" s="4">
        <v>46050.748243842594</v>
      </c>
      <c r="B192" s="5" t="s">
        <v>1628</v>
      </c>
      <c r="C192" s="6" t="s">
        <v>1629</v>
      </c>
      <c r="D192" s="5" t="s">
        <v>1630</v>
      </c>
      <c r="E192" s="5" t="s">
        <v>16</v>
      </c>
      <c r="F192" s="7" t="s">
        <v>1631</v>
      </c>
      <c r="G192" s="7" t="s">
        <v>1632</v>
      </c>
      <c r="H192" s="5" t="s">
        <v>1633</v>
      </c>
      <c r="I192" s="5" t="s">
        <v>1634</v>
      </c>
      <c r="J192" s="5" t="s">
        <v>1635</v>
      </c>
      <c r="K192" s="5" t="s">
        <v>22</v>
      </c>
      <c r="L192" s="5" t="s">
        <v>1636</v>
      </c>
      <c r="M192" s="5" t="s">
        <v>73</v>
      </c>
    </row>
    <row r="193" ht="22.5" customHeight="1">
      <c r="A193" s="4">
        <v>46050.758104085646</v>
      </c>
      <c r="B193" s="5" t="s">
        <v>1637</v>
      </c>
      <c r="C193" s="5" t="s">
        <v>1638</v>
      </c>
      <c r="D193" s="5" t="s">
        <v>1639</v>
      </c>
      <c r="E193" s="5" t="s">
        <v>16</v>
      </c>
      <c r="F193" s="7" t="s">
        <v>1640</v>
      </c>
      <c r="G193" s="7" t="s">
        <v>1641</v>
      </c>
      <c r="H193" s="5" t="s">
        <v>1642</v>
      </c>
      <c r="I193" s="5" t="s">
        <v>1643</v>
      </c>
      <c r="J193" s="5" t="s">
        <v>1644</v>
      </c>
      <c r="K193" s="5" t="s">
        <v>32</v>
      </c>
      <c r="L193" s="5" t="s">
        <v>141</v>
      </c>
      <c r="M193" s="5" t="s">
        <v>1645</v>
      </c>
    </row>
    <row r="194" ht="22.5" customHeight="1">
      <c r="A194" s="4">
        <v>46050.77480319444</v>
      </c>
      <c r="B194" s="5" t="s">
        <v>1646</v>
      </c>
      <c r="C194" s="6" t="s">
        <v>1647</v>
      </c>
      <c r="D194" s="5" t="s">
        <v>1648</v>
      </c>
      <c r="E194" s="5" t="s">
        <v>16</v>
      </c>
      <c r="F194" s="7" t="s">
        <v>1649</v>
      </c>
      <c r="G194" s="7" t="s">
        <v>1650</v>
      </c>
      <c r="H194" s="5" t="s">
        <v>1651</v>
      </c>
      <c r="I194" s="5" t="s">
        <v>1652</v>
      </c>
      <c r="J194" s="5" t="s">
        <v>21</v>
      </c>
      <c r="K194" s="5" t="s">
        <v>32</v>
      </c>
      <c r="L194" s="5" t="s">
        <v>141</v>
      </c>
      <c r="M194" s="5" t="s">
        <v>366</v>
      </c>
    </row>
    <row r="195" ht="22.5" customHeight="1">
      <c r="A195" s="4">
        <v>46050.87298726852</v>
      </c>
      <c r="B195" s="5" t="s">
        <v>1653</v>
      </c>
      <c r="C195" s="6" t="s">
        <v>1654</v>
      </c>
      <c r="D195" s="5" t="s">
        <v>1655</v>
      </c>
      <c r="E195" s="5" t="s">
        <v>16</v>
      </c>
      <c r="F195" s="7" t="s">
        <v>1656</v>
      </c>
      <c r="G195" s="7" t="s">
        <v>1657</v>
      </c>
      <c r="H195" s="5" t="s">
        <v>1658</v>
      </c>
      <c r="I195" s="5" t="s">
        <v>1659</v>
      </c>
      <c r="J195" s="5" t="s">
        <v>1660</v>
      </c>
      <c r="K195" s="5" t="s">
        <v>32</v>
      </c>
      <c r="L195" s="5" t="s">
        <v>1661</v>
      </c>
      <c r="M195" s="5" t="s">
        <v>43</v>
      </c>
    </row>
    <row r="196" ht="22.5" customHeight="1">
      <c r="A196" s="4">
        <v>46050.92066668981</v>
      </c>
      <c r="B196" s="5" t="s">
        <v>1662</v>
      </c>
      <c r="C196" s="6" t="s">
        <v>1663</v>
      </c>
      <c r="D196" s="5" t="s">
        <v>1664</v>
      </c>
      <c r="E196" s="5" t="s">
        <v>16</v>
      </c>
      <c r="F196" s="7" t="s">
        <v>1665</v>
      </c>
      <c r="G196" s="7" t="s">
        <v>1666</v>
      </c>
      <c r="H196" s="8" t="s">
        <v>1667</v>
      </c>
      <c r="I196" s="8" t="s">
        <v>1668</v>
      </c>
      <c r="J196" s="8" t="s">
        <v>1669</v>
      </c>
      <c r="K196" s="5" t="s">
        <v>32</v>
      </c>
      <c r="L196" s="5" t="s">
        <v>1670</v>
      </c>
      <c r="M196" s="8" t="s">
        <v>1671</v>
      </c>
    </row>
    <row r="197" ht="22.5" customHeight="1">
      <c r="A197" s="4">
        <v>46050.92095680555</v>
      </c>
      <c r="B197" s="5" t="s">
        <v>1662</v>
      </c>
      <c r="C197" s="6" t="s">
        <v>1663</v>
      </c>
      <c r="D197" s="5" t="s">
        <v>1664</v>
      </c>
      <c r="E197" s="5" t="s">
        <v>16</v>
      </c>
      <c r="F197" s="7" t="s">
        <v>1665</v>
      </c>
      <c r="G197" s="7" t="s">
        <v>1672</v>
      </c>
      <c r="H197" s="8" t="s">
        <v>1673</v>
      </c>
      <c r="I197" s="8" t="s">
        <v>1674</v>
      </c>
      <c r="J197" s="8" t="s">
        <v>1675</v>
      </c>
      <c r="K197" s="5" t="s">
        <v>32</v>
      </c>
      <c r="L197" s="5" t="s">
        <v>1676</v>
      </c>
      <c r="M197" s="8" t="s">
        <v>1677</v>
      </c>
    </row>
    <row r="198" ht="22.5" customHeight="1">
      <c r="A198" s="4">
        <v>46050.98590429398</v>
      </c>
      <c r="B198" s="5" t="s">
        <v>1678</v>
      </c>
      <c r="C198" s="6" t="s">
        <v>1679</v>
      </c>
      <c r="D198" s="5" t="s">
        <v>1680</v>
      </c>
      <c r="E198" s="5" t="s">
        <v>16</v>
      </c>
      <c r="F198" s="7" t="s">
        <v>1681</v>
      </c>
      <c r="G198" s="7" t="s">
        <v>1682</v>
      </c>
      <c r="H198" s="5" t="s">
        <v>1683</v>
      </c>
      <c r="I198" s="5" t="s">
        <v>1684</v>
      </c>
      <c r="J198" s="5" t="s">
        <v>1685</v>
      </c>
      <c r="K198" s="5" t="s">
        <v>32</v>
      </c>
      <c r="L198" s="5" t="s">
        <v>1686</v>
      </c>
      <c r="M198" s="5" t="s">
        <v>1687</v>
      </c>
    </row>
    <row r="199" ht="22.5" customHeight="1">
      <c r="A199" s="4">
        <v>46051.00898773148</v>
      </c>
      <c r="B199" s="5" t="s">
        <v>1688</v>
      </c>
      <c r="C199" s="6" t="s">
        <v>1689</v>
      </c>
      <c r="D199" s="5" t="s">
        <v>1690</v>
      </c>
      <c r="E199" s="5" t="s">
        <v>16</v>
      </c>
      <c r="F199" s="7" t="s">
        <v>1691</v>
      </c>
      <c r="G199" s="7" t="s">
        <v>1692</v>
      </c>
      <c r="H199" s="5" t="s">
        <v>1693</v>
      </c>
      <c r="I199" s="5" t="s">
        <v>1694</v>
      </c>
      <c r="J199" s="5" t="s">
        <v>1695</v>
      </c>
      <c r="K199" s="5" t="s">
        <v>22</v>
      </c>
      <c r="L199" s="5" t="s">
        <v>123</v>
      </c>
      <c r="M199" s="5" t="s">
        <v>1696</v>
      </c>
    </row>
    <row r="200" ht="22.5" customHeight="1">
      <c r="A200" s="4">
        <v>46051.023227743055</v>
      </c>
      <c r="B200" s="8" t="s">
        <v>1697</v>
      </c>
      <c r="C200" s="6" t="s">
        <v>1698</v>
      </c>
      <c r="D200" s="5" t="s">
        <v>1699</v>
      </c>
      <c r="E200" s="5" t="s">
        <v>16</v>
      </c>
      <c r="F200" s="7" t="s">
        <v>1700</v>
      </c>
      <c r="G200" s="7" t="s">
        <v>1701</v>
      </c>
      <c r="H200" s="5" t="s">
        <v>1702</v>
      </c>
      <c r="I200" s="5" t="s">
        <v>1703</v>
      </c>
      <c r="J200" s="5" t="s">
        <v>21</v>
      </c>
      <c r="K200" s="5" t="s">
        <v>32</v>
      </c>
      <c r="L200" s="5" t="s">
        <v>91</v>
      </c>
      <c r="M200" s="5" t="s">
        <v>178</v>
      </c>
    </row>
    <row r="201" ht="22.5" customHeight="1">
      <c r="A201" s="4">
        <v>46051.60529038194</v>
      </c>
      <c r="B201" s="5" t="s">
        <v>1704</v>
      </c>
      <c r="C201" s="6" t="s">
        <v>1705</v>
      </c>
      <c r="D201" s="5" t="s">
        <v>1706</v>
      </c>
      <c r="E201" s="5" t="s">
        <v>116</v>
      </c>
      <c r="F201" s="5" t="s">
        <v>1707</v>
      </c>
      <c r="G201" s="7" t="s">
        <v>1708</v>
      </c>
      <c r="H201" s="5" t="s">
        <v>1709</v>
      </c>
      <c r="I201" s="5" t="s">
        <v>1710</v>
      </c>
      <c r="J201" s="5" t="s">
        <v>248</v>
      </c>
      <c r="K201" s="5" t="s">
        <v>22</v>
      </c>
      <c r="L201" s="5" t="s">
        <v>123</v>
      </c>
      <c r="M201" s="5" t="s">
        <v>160</v>
      </c>
    </row>
    <row r="202" ht="22.5" customHeight="1">
      <c r="A202" s="4">
        <v>46051.64329729167</v>
      </c>
      <c r="B202" s="5" t="s">
        <v>93</v>
      </c>
      <c r="C202" s="5" t="s">
        <v>1711</v>
      </c>
      <c r="D202" s="5" t="s">
        <v>94</v>
      </c>
      <c r="E202" s="5" t="s">
        <v>16</v>
      </c>
      <c r="F202" s="7" t="s">
        <v>95</v>
      </c>
      <c r="G202" s="7" t="s">
        <v>1712</v>
      </c>
      <c r="H202" s="5" t="s">
        <v>1713</v>
      </c>
      <c r="I202" s="5" t="s">
        <v>1714</v>
      </c>
      <c r="J202" s="5" t="s">
        <v>1715</v>
      </c>
      <c r="K202" s="5" t="s">
        <v>32</v>
      </c>
      <c r="L202" s="5" t="s">
        <v>1716</v>
      </c>
      <c r="M202" s="5" t="s">
        <v>1717</v>
      </c>
    </row>
    <row r="203" ht="22.5" customHeight="1">
      <c r="A203" s="4">
        <v>46051.68372814815</v>
      </c>
      <c r="B203" s="5" t="s">
        <v>1718</v>
      </c>
      <c r="C203" s="5" t="s">
        <v>1719</v>
      </c>
      <c r="D203" s="5" t="s">
        <v>1720</v>
      </c>
      <c r="E203" s="5" t="s">
        <v>16</v>
      </c>
      <c r="F203" s="7" t="s">
        <v>1721</v>
      </c>
      <c r="G203" s="7" t="s">
        <v>1722</v>
      </c>
      <c r="H203" s="5" t="s">
        <v>1723</v>
      </c>
      <c r="I203" s="5" t="s">
        <v>1724</v>
      </c>
      <c r="J203" s="5" t="s">
        <v>1725</v>
      </c>
      <c r="K203" s="5" t="s">
        <v>22</v>
      </c>
      <c r="L203" s="5" t="s">
        <v>123</v>
      </c>
      <c r="M203" s="5" t="s">
        <v>1726</v>
      </c>
    </row>
    <row r="204" ht="22.5" customHeight="1">
      <c r="A204" s="4">
        <v>46051.70464619213</v>
      </c>
      <c r="B204" s="5" t="s">
        <v>1727</v>
      </c>
      <c r="C204" s="5">
        <v>1.273931608E9</v>
      </c>
      <c r="D204" s="5" t="s">
        <v>1728</v>
      </c>
      <c r="E204" s="5" t="s">
        <v>47</v>
      </c>
      <c r="F204" s="7" t="s">
        <v>1729</v>
      </c>
      <c r="G204" s="7" t="s">
        <v>1730</v>
      </c>
      <c r="H204" s="5" t="s">
        <v>1731</v>
      </c>
      <c r="I204" s="5" t="s">
        <v>1732</v>
      </c>
      <c r="J204" s="5" t="s">
        <v>149</v>
      </c>
      <c r="K204" s="5" t="s">
        <v>22</v>
      </c>
      <c r="L204" s="5" t="s">
        <v>123</v>
      </c>
      <c r="M204" s="5" t="s">
        <v>73</v>
      </c>
    </row>
    <row r="205" ht="22.5" customHeight="1">
      <c r="A205" s="4">
        <v>46051.71120471065</v>
      </c>
      <c r="B205" s="5" t="s">
        <v>1733</v>
      </c>
      <c r="C205" s="5" t="s">
        <v>1734</v>
      </c>
      <c r="D205" s="5" t="s">
        <v>1735</v>
      </c>
      <c r="E205" s="5" t="s">
        <v>16</v>
      </c>
      <c r="F205" s="5" t="s">
        <v>1733</v>
      </c>
      <c r="G205" s="7" t="s">
        <v>1736</v>
      </c>
      <c r="H205" s="5" t="s">
        <v>1737</v>
      </c>
      <c r="I205" s="5" t="s">
        <v>1738</v>
      </c>
      <c r="J205" s="5" t="s">
        <v>21</v>
      </c>
      <c r="K205" s="5" t="s">
        <v>22</v>
      </c>
      <c r="L205" s="5" t="s">
        <v>1131</v>
      </c>
      <c r="M205" s="5" t="s">
        <v>160</v>
      </c>
    </row>
    <row r="206" ht="22.5" customHeight="1">
      <c r="A206" s="4">
        <v>46051.71412763889</v>
      </c>
      <c r="B206" s="5" t="s">
        <v>1739</v>
      </c>
      <c r="C206" s="6" t="s">
        <v>1740</v>
      </c>
      <c r="D206" s="5" t="s">
        <v>1741</v>
      </c>
      <c r="E206" s="5" t="s">
        <v>16</v>
      </c>
      <c r="F206" s="7" t="s">
        <v>1742</v>
      </c>
      <c r="G206" s="7" t="s">
        <v>1743</v>
      </c>
      <c r="H206" s="5" t="s">
        <v>1744</v>
      </c>
      <c r="I206" s="5" t="s">
        <v>1745</v>
      </c>
      <c r="J206" s="5" t="s">
        <v>1746</v>
      </c>
      <c r="K206" s="5" t="s">
        <v>32</v>
      </c>
      <c r="L206" s="5" t="s">
        <v>123</v>
      </c>
      <c r="M206" s="5" t="s">
        <v>43</v>
      </c>
    </row>
    <row r="207" ht="22.5" customHeight="1">
      <c r="A207" s="4">
        <v>46051.718587986106</v>
      </c>
      <c r="B207" s="5" t="s">
        <v>1747</v>
      </c>
      <c r="C207" s="6" t="s">
        <v>1748</v>
      </c>
      <c r="D207" s="5" t="s">
        <v>1749</v>
      </c>
      <c r="E207" s="5" t="s">
        <v>116</v>
      </c>
      <c r="F207" s="7" t="s">
        <v>1750</v>
      </c>
      <c r="G207" s="7" t="s">
        <v>1751</v>
      </c>
      <c r="H207" s="5" t="s">
        <v>1752</v>
      </c>
      <c r="I207" s="5" t="s">
        <v>1753</v>
      </c>
      <c r="J207" s="5" t="s">
        <v>149</v>
      </c>
      <c r="K207" s="5" t="s">
        <v>22</v>
      </c>
      <c r="L207" s="5" t="s">
        <v>1754</v>
      </c>
      <c r="M207" s="5" t="s">
        <v>73</v>
      </c>
    </row>
    <row r="208" ht="22.5" customHeight="1">
      <c r="A208" s="4">
        <v>46051.72979189815</v>
      </c>
      <c r="B208" s="5" t="s">
        <v>1755</v>
      </c>
      <c r="C208" s="6" t="s">
        <v>1756</v>
      </c>
      <c r="D208" s="5" t="s">
        <v>1757</v>
      </c>
      <c r="E208" s="5" t="s">
        <v>16</v>
      </c>
      <c r="F208" s="7" t="s">
        <v>1758</v>
      </c>
      <c r="G208" s="7" t="s">
        <v>1759</v>
      </c>
      <c r="H208" s="8" t="s">
        <v>1760</v>
      </c>
      <c r="I208" s="8" t="s">
        <v>1761</v>
      </c>
      <c r="J208" s="5" t="s">
        <v>149</v>
      </c>
      <c r="K208" s="5" t="s">
        <v>32</v>
      </c>
      <c r="L208" s="5" t="s">
        <v>187</v>
      </c>
      <c r="M208" s="8" t="s">
        <v>1762</v>
      </c>
    </row>
    <row r="209" ht="22.5" customHeight="1">
      <c r="A209" s="4">
        <v>46051.735217430556</v>
      </c>
      <c r="B209" s="5" t="s">
        <v>1763</v>
      </c>
      <c r="C209" s="6" t="s">
        <v>45</v>
      </c>
      <c r="D209" s="5" t="s">
        <v>46</v>
      </c>
      <c r="E209" s="5" t="s">
        <v>47</v>
      </c>
      <c r="F209" s="7" t="s">
        <v>1764</v>
      </c>
      <c r="G209" s="7" t="s">
        <v>1765</v>
      </c>
      <c r="H209" s="8" t="s">
        <v>1766</v>
      </c>
      <c r="I209" s="8" t="s">
        <v>1767</v>
      </c>
      <c r="J209" s="5" t="s">
        <v>21</v>
      </c>
      <c r="K209" s="5" t="s">
        <v>22</v>
      </c>
      <c r="L209" s="5" t="s">
        <v>52</v>
      </c>
      <c r="M209" s="5" t="s">
        <v>73</v>
      </c>
    </row>
    <row r="210" ht="22.5" customHeight="1">
      <c r="A210" s="4">
        <v>46051.816052800925</v>
      </c>
      <c r="B210" s="5" t="s">
        <v>1768</v>
      </c>
      <c r="C210" s="6" t="s">
        <v>1769</v>
      </c>
      <c r="D210" s="5" t="s">
        <v>1770</v>
      </c>
      <c r="E210" s="5" t="s">
        <v>16</v>
      </c>
      <c r="F210" s="7" t="s">
        <v>1771</v>
      </c>
      <c r="G210" s="7" t="s">
        <v>1772</v>
      </c>
      <c r="H210" s="5" t="s">
        <v>1773</v>
      </c>
      <c r="I210" s="5" t="s">
        <v>1774</v>
      </c>
      <c r="J210" s="5" t="s">
        <v>1775</v>
      </c>
      <c r="K210" s="5" t="s">
        <v>32</v>
      </c>
      <c r="L210" s="5" t="s">
        <v>532</v>
      </c>
      <c r="M210" s="5" t="s">
        <v>1776</v>
      </c>
    </row>
    <row r="211" ht="22.5" customHeight="1">
      <c r="A211" s="4">
        <v>46051.83475915509</v>
      </c>
      <c r="B211" s="5" t="s">
        <v>1662</v>
      </c>
      <c r="C211" s="6" t="s">
        <v>1663</v>
      </c>
      <c r="D211" s="5" t="s">
        <v>1664</v>
      </c>
      <c r="E211" s="5" t="s">
        <v>16</v>
      </c>
      <c r="F211" s="7" t="s">
        <v>1777</v>
      </c>
      <c r="G211" s="7" t="s">
        <v>1778</v>
      </c>
      <c r="H211" s="8" t="s">
        <v>1779</v>
      </c>
      <c r="I211" s="8" t="s">
        <v>1780</v>
      </c>
      <c r="J211" s="8" t="s">
        <v>1669</v>
      </c>
      <c r="K211" s="5" t="s">
        <v>32</v>
      </c>
      <c r="L211" s="5" t="s">
        <v>1670</v>
      </c>
      <c r="M211" s="8" t="s">
        <v>1677</v>
      </c>
    </row>
    <row r="212" ht="22.5" customHeight="1">
      <c r="A212" s="4">
        <v>46051.85503549769</v>
      </c>
      <c r="B212" s="8" t="s">
        <v>1781</v>
      </c>
      <c r="C212" s="6" t="s">
        <v>1782</v>
      </c>
      <c r="D212" s="5" t="s">
        <v>1783</v>
      </c>
      <c r="E212" s="5" t="s">
        <v>47</v>
      </c>
      <c r="F212" s="7" t="s">
        <v>1784</v>
      </c>
      <c r="G212" s="7" t="s">
        <v>1785</v>
      </c>
      <c r="H212" s="5" t="s">
        <v>1786</v>
      </c>
      <c r="I212" s="5" t="s">
        <v>1787</v>
      </c>
      <c r="J212" s="5" t="s">
        <v>1788</v>
      </c>
      <c r="K212" s="5" t="s">
        <v>122</v>
      </c>
      <c r="L212" s="5" t="s">
        <v>1789</v>
      </c>
      <c r="M212" s="5" t="s">
        <v>20</v>
      </c>
    </row>
    <row r="213" ht="22.5" customHeight="1">
      <c r="A213" s="4">
        <v>46051.856199629634</v>
      </c>
      <c r="B213" s="5" t="s">
        <v>1790</v>
      </c>
      <c r="C213" s="5" t="s">
        <v>1791</v>
      </c>
      <c r="D213" s="5" t="s">
        <v>1792</v>
      </c>
      <c r="E213" s="5" t="s">
        <v>47</v>
      </c>
      <c r="F213" s="7" t="s">
        <v>1793</v>
      </c>
      <c r="G213" s="7" t="s">
        <v>1794</v>
      </c>
      <c r="H213" s="5" t="s">
        <v>1795</v>
      </c>
      <c r="I213" s="5" t="s">
        <v>1796</v>
      </c>
      <c r="J213" s="5" t="s">
        <v>149</v>
      </c>
      <c r="K213" s="5" t="s">
        <v>122</v>
      </c>
      <c r="L213" s="5" t="s">
        <v>1797</v>
      </c>
      <c r="M213" s="5" t="s">
        <v>573</v>
      </c>
    </row>
    <row r="214" ht="22.5" customHeight="1">
      <c r="A214" s="4">
        <v>46051.86936546296</v>
      </c>
      <c r="B214" s="5" t="s">
        <v>1798</v>
      </c>
      <c r="C214" s="6" t="s">
        <v>1799</v>
      </c>
      <c r="D214" s="5" t="s">
        <v>1800</v>
      </c>
      <c r="E214" s="5" t="s">
        <v>16</v>
      </c>
      <c r="F214" s="7" t="s">
        <v>1801</v>
      </c>
      <c r="G214" s="7" t="s">
        <v>1802</v>
      </c>
      <c r="H214" s="8" t="s">
        <v>1803</v>
      </c>
      <c r="I214" s="8" t="s">
        <v>1804</v>
      </c>
      <c r="J214" s="8" t="s">
        <v>1805</v>
      </c>
      <c r="K214" s="5" t="s">
        <v>32</v>
      </c>
      <c r="L214" s="5" t="s">
        <v>1806</v>
      </c>
      <c r="M214" s="5" t="s">
        <v>1807</v>
      </c>
    </row>
    <row r="215" ht="22.5" customHeight="1">
      <c r="A215" s="4">
        <v>46051.931758900464</v>
      </c>
      <c r="B215" s="5" t="s">
        <v>1808</v>
      </c>
      <c r="C215" s="6" t="s">
        <v>1809</v>
      </c>
      <c r="D215" s="5" t="s">
        <v>1810</v>
      </c>
      <c r="E215" s="5" t="s">
        <v>47</v>
      </c>
      <c r="F215" s="7" t="s">
        <v>1811</v>
      </c>
      <c r="G215" s="7" t="s">
        <v>1812</v>
      </c>
      <c r="H215" s="8" t="s">
        <v>1813</v>
      </c>
      <c r="I215" s="8" t="s">
        <v>1814</v>
      </c>
      <c r="J215" s="5" t="s">
        <v>838</v>
      </c>
      <c r="K215" s="5" t="s">
        <v>22</v>
      </c>
      <c r="L215" s="5" t="s">
        <v>52</v>
      </c>
      <c r="M215" s="8" t="s">
        <v>1815</v>
      </c>
    </row>
    <row r="216" ht="22.5" customHeight="1">
      <c r="A216" s="4">
        <v>46051.935444953706</v>
      </c>
      <c r="B216" s="5" t="s">
        <v>1816</v>
      </c>
      <c r="C216" s="5" t="s">
        <v>1817</v>
      </c>
      <c r="D216" s="5" t="s">
        <v>1818</v>
      </c>
      <c r="E216" s="5" t="s">
        <v>116</v>
      </c>
      <c r="F216" s="7" t="s">
        <v>1819</v>
      </c>
      <c r="G216" s="7" t="s">
        <v>1820</v>
      </c>
      <c r="H216" s="5" t="s">
        <v>1821</v>
      </c>
      <c r="I216" s="5" t="s">
        <v>1822</v>
      </c>
      <c r="J216" s="5" t="s">
        <v>1823</v>
      </c>
      <c r="K216" s="5" t="s">
        <v>32</v>
      </c>
      <c r="L216" s="5" t="s">
        <v>1824</v>
      </c>
      <c r="M216" s="5" t="s">
        <v>1825</v>
      </c>
    </row>
    <row r="217" ht="22.5" customHeight="1">
      <c r="A217" s="4">
        <v>46051.95128395833</v>
      </c>
      <c r="B217" s="5" t="s">
        <v>1826</v>
      </c>
      <c r="C217" s="6" t="s">
        <v>1827</v>
      </c>
      <c r="D217" s="5" t="s">
        <v>1828</v>
      </c>
      <c r="E217" s="5" t="s">
        <v>47</v>
      </c>
      <c r="F217" s="7" t="s">
        <v>1829</v>
      </c>
      <c r="G217" s="7" t="s">
        <v>1830</v>
      </c>
      <c r="H217" s="5" t="s">
        <v>397</v>
      </c>
      <c r="I217" s="5" t="s">
        <v>1831</v>
      </c>
      <c r="J217" s="5" t="s">
        <v>1832</v>
      </c>
      <c r="K217" s="5" t="s">
        <v>110</v>
      </c>
      <c r="L217" s="5" t="s">
        <v>1833</v>
      </c>
      <c r="M217" s="5" t="s">
        <v>573</v>
      </c>
    </row>
    <row r="218" ht="22.5" customHeight="1">
      <c r="A218" s="4">
        <v>46052.08705152778</v>
      </c>
      <c r="B218" s="5" t="s">
        <v>1834</v>
      </c>
      <c r="C218" s="6" t="s">
        <v>1835</v>
      </c>
      <c r="D218" s="5" t="s">
        <v>1836</v>
      </c>
      <c r="E218" s="5" t="s">
        <v>116</v>
      </c>
      <c r="F218" s="7" t="s">
        <v>1837</v>
      </c>
      <c r="G218" s="7" t="s">
        <v>1838</v>
      </c>
      <c r="H218" s="5" t="s">
        <v>1839</v>
      </c>
      <c r="I218" s="5" t="s">
        <v>1840</v>
      </c>
      <c r="J218" s="5" t="s">
        <v>1841</v>
      </c>
      <c r="K218" s="5" t="s">
        <v>22</v>
      </c>
      <c r="L218" s="5" t="s">
        <v>771</v>
      </c>
      <c r="M218" s="5" t="s">
        <v>1842</v>
      </c>
    </row>
    <row r="219" ht="22.5" customHeight="1">
      <c r="A219" s="4">
        <v>46052.10980689815</v>
      </c>
      <c r="B219" s="5" t="s">
        <v>1843</v>
      </c>
      <c r="C219" s="6" t="s">
        <v>1844</v>
      </c>
      <c r="D219" s="5" t="s">
        <v>1845</v>
      </c>
      <c r="E219" s="5" t="s">
        <v>47</v>
      </c>
      <c r="F219" s="7" t="s">
        <v>1846</v>
      </c>
      <c r="G219" s="7" t="s">
        <v>1847</v>
      </c>
      <c r="H219" s="5" t="s">
        <v>1848</v>
      </c>
      <c r="I219" s="5" t="s">
        <v>1849</v>
      </c>
      <c r="J219" s="5" t="s">
        <v>1850</v>
      </c>
      <c r="K219" s="5" t="s">
        <v>110</v>
      </c>
      <c r="L219" s="5" t="s">
        <v>771</v>
      </c>
      <c r="M219" s="5" t="s">
        <v>1851</v>
      </c>
    </row>
    <row r="220" ht="22.5" customHeight="1">
      <c r="A220" s="4">
        <v>46052.14679853009</v>
      </c>
      <c r="B220" s="5" t="s">
        <v>1852</v>
      </c>
      <c r="C220" s="6" t="s">
        <v>1853</v>
      </c>
      <c r="D220" s="5" t="s">
        <v>1854</v>
      </c>
      <c r="E220" s="5" t="s">
        <v>116</v>
      </c>
      <c r="F220" s="7" t="s">
        <v>1855</v>
      </c>
      <c r="G220" s="7" t="s">
        <v>1856</v>
      </c>
      <c r="H220" s="5" t="s">
        <v>1857</v>
      </c>
      <c r="I220" s="5" t="s">
        <v>1858</v>
      </c>
      <c r="J220" s="5" t="s">
        <v>355</v>
      </c>
      <c r="K220" s="5" t="s">
        <v>32</v>
      </c>
      <c r="L220" s="5" t="s">
        <v>1859</v>
      </c>
      <c r="M220" s="5" t="s">
        <v>366</v>
      </c>
    </row>
    <row r="221" ht="22.5" customHeight="1">
      <c r="A221" s="4">
        <v>46052.209091909725</v>
      </c>
      <c r="B221" s="5" t="s">
        <v>1860</v>
      </c>
      <c r="C221" s="6" t="s">
        <v>1861</v>
      </c>
      <c r="D221" s="5" t="s">
        <v>1862</v>
      </c>
      <c r="E221" s="5" t="s">
        <v>16</v>
      </c>
      <c r="F221" s="7" t="s">
        <v>1863</v>
      </c>
      <c r="G221" s="7" t="s">
        <v>1864</v>
      </c>
      <c r="H221" s="5" t="s">
        <v>1865</v>
      </c>
      <c r="I221" s="5" t="s">
        <v>1866</v>
      </c>
      <c r="J221" s="5" t="s">
        <v>1867</v>
      </c>
      <c r="K221" s="5" t="s">
        <v>22</v>
      </c>
      <c r="L221" s="5" t="s">
        <v>1868</v>
      </c>
      <c r="M221" s="5" t="s">
        <v>1869</v>
      </c>
    </row>
    <row r="222" ht="22.5" customHeight="1">
      <c r="A222" s="4">
        <v>46052.26368103009</v>
      </c>
      <c r="B222" s="5" t="s">
        <v>1604</v>
      </c>
      <c r="C222" s="6" t="s">
        <v>1605</v>
      </c>
      <c r="D222" s="5" t="s">
        <v>1606</v>
      </c>
      <c r="E222" s="5" t="s">
        <v>16</v>
      </c>
      <c r="F222" s="7" t="s">
        <v>1870</v>
      </c>
      <c r="G222" s="7" t="s">
        <v>1871</v>
      </c>
      <c r="H222" s="5" t="s">
        <v>1872</v>
      </c>
      <c r="I222" s="5" t="s">
        <v>1873</v>
      </c>
      <c r="J222" s="5" t="s">
        <v>1874</v>
      </c>
      <c r="K222" s="5" t="s">
        <v>122</v>
      </c>
      <c r="L222" s="5" t="s">
        <v>1131</v>
      </c>
      <c r="M222" s="5" t="s">
        <v>1875</v>
      </c>
    </row>
    <row r="223" ht="22.5" customHeight="1">
      <c r="A223" s="4">
        <v>46052.41594237268</v>
      </c>
      <c r="B223" s="5" t="s">
        <v>1876</v>
      </c>
      <c r="C223" s="6" t="s">
        <v>1877</v>
      </c>
      <c r="D223" s="5" t="s">
        <v>1878</v>
      </c>
      <c r="E223" s="5" t="s">
        <v>16</v>
      </c>
      <c r="F223" s="7" t="s">
        <v>1879</v>
      </c>
      <c r="G223" s="7" t="s">
        <v>1880</v>
      </c>
      <c r="H223" s="5" t="s">
        <v>1881</v>
      </c>
      <c r="I223" s="5" t="s">
        <v>1882</v>
      </c>
      <c r="J223" s="5" t="s">
        <v>1883</v>
      </c>
      <c r="K223" s="5" t="s">
        <v>32</v>
      </c>
      <c r="L223" s="5" t="s">
        <v>1884</v>
      </c>
      <c r="M223" s="5" t="s">
        <v>391</v>
      </c>
    </row>
    <row r="224" ht="22.5" customHeight="1">
      <c r="A224" s="4">
        <v>46052.45579628472</v>
      </c>
      <c r="B224" s="5" t="s">
        <v>1885</v>
      </c>
      <c r="C224" s="6" t="s">
        <v>1886</v>
      </c>
      <c r="D224" s="5" t="s">
        <v>1887</v>
      </c>
      <c r="E224" s="5" t="s">
        <v>116</v>
      </c>
      <c r="F224" s="7" t="s">
        <v>1888</v>
      </c>
      <c r="G224" s="7" t="s">
        <v>1889</v>
      </c>
      <c r="H224" s="5" t="s">
        <v>1890</v>
      </c>
      <c r="I224" s="5" t="s">
        <v>1891</v>
      </c>
      <c r="J224" s="5" t="s">
        <v>1892</v>
      </c>
      <c r="K224" s="5" t="s">
        <v>22</v>
      </c>
      <c r="L224" s="5" t="s">
        <v>1893</v>
      </c>
      <c r="M224" s="5" t="s">
        <v>1894</v>
      </c>
    </row>
    <row r="225" ht="22.5" customHeight="1">
      <c r="A225" s="4">
        <v>46052.45972341435</v>
      </c>
      <c r="B225" s="5" t="s">
        <v>1895</v>
      </c>
      <c r="C225" s="6" t="s">
        <v>1896</v>
      </c>
      <c r="D225" s="5" t="s">
        <v>1897</v>
      </c>
      <c r="E225" s="5" t="s">
        <v>116</v>
      </c>
      <c r="F225" s="7" t="s">
        <v>1898</v>
      </c>
      <c r="G225" s="7" t="s">
        <v>1899</v>
      </c>
      <c r="H225" s="5" t="s">
        <v>1900</v>
      </c>
      <c r="I225" s="5" t="s">
        <v>1901</v>
      </c>
      <c r="J225" s="5" t="s">
        <v>1892</v>
      </c>
      <c r="K225" s="5" t="s">
        <v>22</v>
      </c>
      <c r="L225" s="5" t="s">
        <v>123</v>
      </c>
      <c r="M225" s="5" t="s">
        <v>1894</v>
      </c>
    </row>
    <row r="226" ht="22.5" customHeight="1">
      <c r="A226" s="4">
        <v>46052.54003409723</v>
      </c>
      <c r="B226" s="5" t="s">
        <v>1902</v>
      </c>
      <c r="C226" s="6" t="s">
        <v>1903</v>
      </c>
      <c r="D226" s="5" t="s">
        <v>1904</v>
      </c>
      <c r="E226" s="5" t="s">
        <v>16</v>
      </c>
      <c r="F226" s="7" t="s">
        <v>1905</v>
      </c>
      <c r="G226" s="7" t="s">
        <v>1906</v>
      </c>
      <c r="H226" s="5" t="s">
        <v>1907</v>
      </c>
      <c r="I226" s="5" t="s">
        <v>1908</v>
      </c>
      <c r="J226" s="5" t="s">
        <v>1909</v>
      </c>
      <c r="K226" s="5" t="s">
        <v>32</v>
      </c>
      <c r="L226" s="5" t="s">
        <v>141</v>
      </c>
      <c r="M226" s="5" t="s">
        <v>1910</v>
      </c>
    </row>
    <row r="227" ht="22.5" customHeight="1">
      <c r="A227" s="4">
        <v>46052.56570634259</v>
      </c>
      <c r="B227" s="5" t="s">
        <v>1911</v>
      </c>
      <c r="C227" s="6" t="s">
        <v>1912</v>
      </c>
      <c r="D227" s="5" t="s">
        <v>1913</v>
      </c>
      <c r="E227" s="5" t="s">
        <v>116</v>
      </c>
      <c r="F227" s="7" t="s">
        <v>1914</v>
      </c>
      <c r="G227" s="7" t="s">
        <v>1915</v>
      </c>
      <c r="H227" s="5" t="s">
        <v>1916</v>
      </c>
      <c r="I227" s="5" t="s">
        <v>1917</v>
      </c>
      <c r="J227" s="5" t="s">
        <v>1918</v>
      </c>
      <c r="K227" s="5" t="s">
        <v>22</v>
      </c>
      <c r="L227" s="5" t="s">
        <v>123</v>
      </c>
      <c r="M227" s="5" t="s">
        <v>73</v>
      </c>
    </row>
    <row r="228" ht="22.5" customHeight="1">
      <c r="A228" s="4">
        <v>46052.61437108796</v>
      </c>
      <c r="B228" s="5" t="s">
        <v>1919</v>
      </c>
      <c r="C228" s="6" t="s">
        <v>1920</v>
      </c>
      <c r="D228" s="5" t="s">
        <v>1921</v>
      </c>
      <c r="E228" s="5" t="s">
        <v>16</v>
      </c>
      <c r="F228" s="7" t="s">
        <v>1922</v>
      </c>
      <c r="G228" s="7" t="s">
        <v>1923</v>
      </c>
      <c r="H228" s="5" t="s">
        <v>1924</v>
      </c>
      <c r="I228" s="5" t="s">
        <v>1925</v>
      </c>
      <c r="J228" s="5" t="s">
        <v>149</v>
      </c>
      <c r="K228" s="5" t="s">
        <v>110</v>
      </c>
      <c r="L228" s="5" t="s">
        <v>1926</v>
      </c>
      <c r="M228" s="5" t="s">
        <v>1927</v>
      </c>
    </row>
    <row r="229" ht="22.5" customHeight="1">
      <c r="A229" s="4">
        <v>46052.70429296297</v>
      </c>
      <c r="B229" s="5" t="s">
        <v>1928</v>
      </c>
      <c r="C229" s="6" t="s">
        <v>1929</v>
      </c>
      <c r="D229" s="5" t="s">
        <v>1930</v>
      </c>
      <c r="E229" s="5" t="s">
        <v>16</v>
      </c>
      <c r="F229" s="7" t="s">
        <v>1931</v>
      </c>
      <c r="G229" s="7" t="s">
        <v>1932</v>
      </c>
      <c r="H229" s="5" t="s">
        <v>1933</v>
      </c>
      <c r="I229" s="5" t="s">
        <v>1934</v>
      </c>
      <c r="J229" s="5" t="s">
        <v>176</v>
      </c>
      <c r="K229" s="5" t="s">
        <v>32</v>
      </c>
      <c r="L229" s="5" t="s">
        <v>532</v>
      </c>
      <c r="M229" s="5" t="s">
        <v>366</v>
      </c>
    </row>
    <row r="230" ht="22.5" customHeight="1">
      <c r="A230" s="4">
        <v>46052.7101959838</v>
      </c>
      <c r="B230" s="5" t="s">
        <v>1935</v>
      </c>
      <c r="C230" s="6" t="s">
        <v>1936</v>
      </c>
      <c r="D230" s="5" t="s">
        <v>1937</v>
      </c>
      <c r="E230" s="5" t="s">
        <v>47</v>
      </c>
      <c r="F230" s="7" t="s">
        <v>1938</v>
      </c>
      <c r="G230" s="7" t="s">
        <v>1939</v>
      </c>
      <c r="H230" s="5" t="s">
        <v>1940</v>
      </c>
      <c r="I230" s="5" t="s">
        <v>1941</v>
      </c>
      <c r="J230" s="5" t="s">
        <v>5</v>
      </c>
      <c r="K230" s="5" t="s">
        <v>32</v>
      </c>
      <c r="L230" s="5" t="s">
        <v>141</v>
      </c>
      <c r="M230" s="5" t="s">
        <v>73</v>
      </c>
    </row>
    <row r="231" ht="22.5" customHeight="1">
      <c r="A231" s="4">
        <v>46052.78086112269</v>
      </c>
      <c r="B231" s="5" t="s">
        <v>1942</v>
      </c>
      <c r="C231" s="6" t="s">
        <v>1943</v>
      </c>
      <c r="D231" s="5" t="s">
        <v>1944</v>
      </c>
      <c r="E231" s="5" t="s">
        <v>16</v>
      </c>
      <c r="F231" s="7" t="s">
        <v>1945</v>
      </c>
      <c r="G231" s="7" t="s">
        <v>1946</v>
      </c>
      <c r="H231" s="5" t="s">
        <v>1947</v>
      </c>
      <c r="I231" s="5" t="s">
        <v>1948</v>
      </c>
      <c r="J231" s="5" t="s">
        <v>1949</v>
      </c>
      <c r="K231" s="5" t="s">
        <v>122</v>
      </c>
      <c r="L231" s="5" t="s">
        <v>1950</v>
      </c>
      <c r="M231" s="5" t="s">
        <v>417</v>
      </c>
    </row>
    <row r="232" ht="22.5" customHeight="1">
      <c r="A232" s="4">
        <v>46052.89385232639</v>
      </c>
      <c r="B232" s="5" t="s">
        <v>1951</v>
      </c>
      <c r="C232" s="6" t="s">
        <v>1952</v>
      </c>
      <c r="D232" s="5" t="s">
        <v>1953</v>
      </c>
      <c r="E232" s="5" t="s">
        <v>47</v>
      </c>
      <c r="F232" s="7" t="s">
        <v>1954</v>
      </c>
      <c r="G232" s="7" t="s">
        <v>1955</v>
      </c>
      <c r="H232" s="5" t="s">
        <v>1956</v>
      </c>
      <c r="I232" s="5" t="s">
        <v>1957</v>
      </c>
      <c r="J232" s="5" t="s">
        <v>355</v>
      </c>
      <c r="K232" s="5" t="s">
        <v>22</v>
      </c>
      <c r="L232" s="5" t="s">
        <v>1958</v>
      </c>
      <c r="M232" s="5" t="s">
        <v>250</v>
      </c>
    </row>
    <row r="233" ht="22.5" customHeight="1">
      <c r="A233" s="4">
        <v>46052.94607747685</v>
      </c>
      <c r="B233" s="5" t="s">
        <v>1959</v>
      </c>
      <c r="C233" s="6" t="s">
        <v>1960</v>
      </c>
      <c r="D233" s="5" t="s">
        <v>1961</v>
      </c>
      <c r="E233" s="5" t="s">
        <v>116</v>
      </c>
      <c r="F233" s="7" t="s">
        <v>1962</v>
      </c>
      <c r="G233" s="7" t="s">
        <v>1963</v>
      </c>
      <c r="H233" s="5" t="s">
        <v>1964</v>
      </c>
      <c r="I233" s="5" t="s">
        <v>1965</v>
      </c>
      <c r="J233" s="5" t="s">
        <v>149</v>
      </c>
      <c r="K233" s="5" t="s">
        <v>110</v>
      </c>
      <c r="L233" s="5" t="s">
        <v>1966</v>
      </c>
      <c r="M233" s="5" t="s">
        <v>43</v>
      </c>
    </row>
    <row r="234" ht="22.5" customHeight="1">
      <c r="A234" s="4">
        <v>46052.98059741898</v>
      </c>
      <c r="B234" s="8" t="s">
        <v>1967</v>
      </c>
      <c r="C234" s="6" t="s">
        <v>1968</v>
      </c>
      <c r="D234" s="5" t="s">
        <v>1969</v>
      </c>
      <c r="E234" s="5" t="s">
        <v>47</v>
      </c>
      <c r="F234" s="7" t="s">
        <v>1970</v>
      </c>
      <c r="G234" s="7" t="s">
        <v>1971</v>
      </c>
      <c r="H234" s="5" t="s">
        <v>1972</v>
      </c>
      <c r="I234" s="5" t="s">
        <v>1973</v>
      </c>
      <c r="J234" s="5" t="s">
        <v>1974</v>
      </c>
      <c r="K234" s="5" t="s">
        <v>122</v>
      </c>
      <c r="L234" s="5" t="s">
        <v>141</v>
      </c>
      <c r="M234" s="5" t="s">
        <v>573</v>
      </c>
    </row>
    <row r="235" ht="22.5" customHeight="1">
      <c r="A235" s="4">
        <v>46052.98184140046</v>
      </c>
      <c r="B235" s="5" t="s">
        <v>1975</v>
      </c>
      <c r="C235" s="6" t="s">
        <v>1976</v>
      </c>
      <c r="D235" s="5" t="s">
        <v>1977</v>
      </c>
      <c r="E235" s="5" t="s">
        <v>47</v>
      </c>
      <c r="F235" s="7" t="s">
        <v>1978</v>
      </c>
      <c r="G235" s="7" t="s">
        <v>1979</v>
      </c>
      <c r="H235" s="5" t="s">
        <v>1980</v>
      </c>
      <c r="I235" s="5" t="s">
        <v>1981</v>
      </c>
      <c r="J235" s="5" t="s">
        <v>1982</v>
      </c>
      <c r="K235" s="5" t="s">
        <v>110</v>
      </c>
      <c r="L235" s="5" t="s">
        <v>141</v>
      </c>
      <c r="M235" s="5" t="s">
        <v>250</v>
      </c>
    </row>
    <row r="236" ht="22.5" customHeight="1">
      <c r="A236" s="4">
        <v>46053.021521030096</v>
      </c>
      <c r="B236" s="5" t="s">
        <v>1983</v>
      </c>
      <c r="C236" s="6" t="s">
        <v>1984</v>
      </c>
      <c r="D236" s="5" t="s">
        <v>1985</v>
      </c>
      <c r="E236" s="5" t="s">
        <v>16</v>
      </c>
      <c r="F236" s="7" t="s">
        <v>1986</v>
      </c>
      <c r="G236" s="7" t="s">
        <v>1987</v>
      </c>
      <c r="H236" s="8" t="s">
        <v>1988</v>
      </c>
      <c r="I236" s="8" t="s">
        <v>1989</v>
      </c>
      <c r="J236" s="8" t="s">
        <v>1990</v>
      </c>
      <c r="K236" s="5" t="s">
        <v>32</v>
      </c>
      <c r="L236" s="5" t="s">
        <v>123</v>
      </c>
      <c r="M236" s="8" t="s">
        <v>1991</v>
      </c>
    </row>
    <row r="237" ht="22.5" customHeight="1">
      <c r="A237" s="4">
        <v>46053.09939209491</v>
      </c>
      <c r="B237" s="5" t="s">
        <v>1992</v>
      </c>
      <c r="C237" s="6" t="s">
        <v>1993</v>
      </c>
      <c r="D237" s="5" t="s">
        <v>1994</v>
      </c>
      <c r="E237" s="5" t="s">
        <v>47</v>
      </c>
      <c r="F237" s="7" t="s">
        <v>1995</v>
      </c>
      <c r="G237" s="7" t="s">
        <v>1996</v>
      </c>
      <c r="H237" s="5" t="s">
        <v>1997</v>
      </c>
      <c r="I237" s="5" t="s">
        <v>1998</v>
      </c>
      <c r="J237" s="5" t="s">
        <v>5</v>
      </c>
      <c r="K237" s="5" t="s">
        <v>32</v>
      </c>
      <c r="L237" s="5" t="s">
        <v>141</v>
      </c>
      <c r="M237" s="5" t="s">
        <v>73</v>
      </c>
    </row>
    <row r="238" ht="22.5" customHeight="1">
      <c r="A238" s="4">
        <v>46053.67346384259</v>
      </c>
      <c r="B238" s="5" t="s">
        <v>1999</v>
      </c>
      <c r="C238" s="6" t="s">
        <v>2000</v>
      </c>
      <c r="D238" s="5" t="s">
        <v>2001</v>
      </c>
      <c r="E238" s="5" t="s">
        <v>16</v>
      </c>
      <c r="F238" s="5" t="s">
        <v>2002</v>
      </c>
      <c r="G238" s="7" t="s">
        <v>2003</v>
      </c>
      <c r="H238" s="5" t="s">
        <v>2004</v>
      </c>
      <c r="I238" s="5" t="s">
        <v>2005</v>
      </c>
      <c r="J238" s="5" t="s">
        <v>2006</v>
      </c>
      <c r="K238" s="5" t="s">
        <v>32</v>
      </c>
      <c r="L238" s="5" t="s">
        <v>2007</v>
      </c>
      <c r="M238" s="5" t="s">
        <v>2008</v>
      </c>
    </row>
    <row r="239" ht="22.5" customHeight="1">
      <c r="A239" s="4">
        <v>46053.741053958336</v>
      </c>
      <c r="B239" s="5" t="s">
        <v>2009</v>
      </c>
      <c r="C239" s="6" t="s">
        <v>2010</v>
      </c>
      <c r="D239" s="5" t="s">
        <v>2011</v>
      </c>
      <c r="E239" s="5" t="s">
        <v>47</v>
      </c>
      <c r="F239" s="7" t="s">
        <v>2012</v>
      </c>
      <c r="G239" s="7" t="s">
        <v>2013</v>
      </c>
      <c r="H239" s="5" t="s">
        <v>2014</v>
      </c>
      <c r="I239" s="5" t="s">
        <v>2015</v>
      </c>
      <c r="J239" s="5" t="s">
        <v>355</v>
      </c>
      <c r="K239" s="5" t="s">
        <v>32</v>
      </c>
      <c r="L239" s="5" t="s">
        <v>141</v>
      </c>
      <c r="M239" s="5" t="s">
        <v>417</v>
      </c>
    </row>
    <row r="240" ht="22.5" customHeight="1">
      <c r="A240" s="4">
        <v>46053.915392118055</v>
      </c>
      <c r="B240" s="5" t="s">
        <v>2016</v>
      </c>
      <c r="C240" s="6" t="s">
        <v>2017</v>
      </c>
      <c r="D240" s="5" t="s">
        <v>2018</v>
      </c>
      <c r="E240" s="5" t="s">
        <v>16</v>
      </c>
      <c r="F240" s="7" t="s">
        <v>2019</v>
      </c>
      <c r="G240" s="7" t="s">
        <v>2020</v>
      </c>
      <c r="H240" s="5" t="s">
        <v>2021</v>
      </c>
      <c r="I240" s="5" t="s">
        <v>2022</v>
      </c>
      <c r="J240" s="5" t="s">
        <v>2023</v>
      </c>
      <c r="K240" s="5" t="s">
        <v>122</v>
      </c>
      <c r="L240" s="5" t="s">
        <v>2024</v>
      </c>
      <c r="M240" s="5" t="s">
        <v>2025</v>
      </c>
    </row>
    <row r="241" ht="22.5" customHeight="1">
      <c r="A241" s="4">
        <v>46054.09405210648</v>
      </c>
      <c r="B241" s="5" t="s">
        <v>2026</v>
      </c>
      <c r="C241" s="6" t="s">
        <v>2027</v>
      </c>
      <c r="D241" s="5" t="s">
        <v>2028</v>
      </c>
      <c r="E241" s="5" t="s">
        <v>16</v>
      </c>
      <c r="F241" s="7" t="s">
        <v>2029</v>
      </c>
      <c r="G241" s="7" t="s">
        <v>2030</v>
      </c>
      <c r="H241" s="5" t="s">
        <v>2031</v>
      </c>
      <c r="I241" s="5" t="s">
        <v>2032</v>
      </c>
      <c r="J241" s="5" t="s">
        <v>2033</v>
      </c>
      <c r="K241" s="5" t="s">
        <v>32</v>
      </c>
      <c r="L241" s="5" t="s">
        <v>2034</v>
      </c>
      <c r="M241" s="5" t="s">
        <v>573</v>
      </c>
    </row>
    <row r="242" ht="22.5" customHeight="1">
      <c r="A242" s="4">
        <v>46054.47599861111</v>
      </c>
      <c r="B242" s="5" t="s">
        <v>2035</v>
      </c>
      <c r="C242" s="6" t="s">
        <v>2036</v>
      </c>
      <c r="D242" s="5" t="s">
        <v>2037</v>
      </c>
      <c r="E242" s="5" t="s">
        <v>16</v>
      </c>
      <c r="F242" s="7" t="s">
        <v>2038</v>
      </c>
      <c r="G242" s="7" t="s">
        <v>2039</v>
      </c>
      <c r="H242" s="5" t="s">
        <v>2040</v>
      </c>
      <c r="I242" s="5" t="s">
        <v>2041</v>
      </c>
      <c r="J242" s="5" t="s">
        <v>5</v>
      </c>
      <c r="K242" s="5" t="s">
        <v>32</v>
      </c>
      <c r="L242" s="5" t="s">
        <v>123</v>
      </c>
      <c r="M242" s="5" t="s">
        <v>73</v>
      </c>
    </row>
    <row r="243" ht="22.5" customHeight="1">
      <c r="A243" s="4">
        <v>46054.688447141205</v>
      </c>
      <c r="B243" s="5" t="s">
        <v>2042</v>
      </c>
      <c r="C243" s="6" t="s">
        <v>2043</v>
      </c>
      <c r="D243" s="5" t="s">
        <v>2044</v>
      </c>
      <c r="E243" s="5" t="s">
        <v>16</v>
      </c>
      <c r="F243" s="7" t="s">
        <v>2045</v>
      </c>
      <c r="G243" s="7" t="s">
        <v>2046</v>
      </c>
      <c r="H243" s="5" t="s">
        <v>2047</v>
      </c>
      <c r="I243" s="5" t="s">
        <v>2048</v>
      </c>
      <c r="J243" s="5" t="s">
        <v>149</v>
      </c>
      <c r="K243" s="5" t="s">
        <v>32</v>
      </c>
      <c r="L243" s="5" t="s">
        <v>2049</v>
      </c>
      <c r="M243" s="5" t="s">
        <v>573</v>
      </c>
    </row>
    <row r="244" ht="22.5" customHeight="1">
      <c r="A244" s="4">
        <v>46054.936185081024</v>
      </c>
      <c r="B244" s="5" t="s">
        <v>2050</v>
      </c>
      <c r="C244" s="6" t="s">
        <v>2051</v>
      </c>
      <c r="D244" s="5" t="s">
        <v>2052</v>
      </c>
      <c r="E244" s="5" t="s">
        <v>16</v>
      </c>
      <c r="F244" s="7" t="s">
        <v>2053</v>
      </c>
      <c r="G244" s="7" t="s">
        <v>2054</v>
      </c>
      <c r="H244" s="5" t="s">
        <v>2055</v>
      </c>
      <c r="I244" s="5" t="s">
        <v>2056</v>
      </c>
      <c r="J244" s="5" t="s">
        <v>2057</v>
      </c>
      <c r="K244" s="5" t="s">
        <v>22</v>
      </c>
      <c r="L244" s="5" t="s">
        <v>123</v>
      </c>
      <c r="M244" s="5" t="s">
        <v>112</v>
      </c>
    </row>
    <row r="245" ht="22.5" customHeight="1">
      <c r="A245" s="4">
        <v>46054.94888815972</v>
      </c>
      <c r="B245" s="5" t="s">
        <v>2058</v>
      </c>
      <c r="C245" s="6" t="s">
        <v>301</v>
      </c>
      <c r="D245" s="5" t="s">
        <v>302</v>
      </c>
      <c r="E245" s="5" t="s">
        <v>16</v>
      </c>
      <c r="F245" s="7" t="s">
        <v>2059</v>
      </c>
      <c r="G245" s="7" t="s">
        <v>2060</v>
      </c>
      <c r="H245" s="5" t="s">
        <v>2061</v>
      </c>
      <c r="I245" s="5" t="s">
        <v>2062</v>
      </c>
      <c r="J245" s="5" t="s">
        <v>21</v>
      </c>
      <c r="K245" s="5" t="s">
        <v>22</v>
      </c>
      <c r="L245" s="5" t="s">
        <v>307</v>
      </c>
      <c r="M245" s="8" t="s">
        <v>2063</v>
      </c>
    </row>
    <row r="246" ht="22.5" customHeight="1">
      <c r="A246" s="4">
        <v>46054.957995254634</v>
      </c>
      <c r="B246" s="5" t="s">
        <v>2064</v>
      </c>
      <c r="C246" s="6" t="s">
        <v>2065</v>
      </c>
      <c r="D246" s="5" t="s">
        <v>2066</v>
      </c>
      <c r="E246" s="5" t="s">
        <v>47</v>
      </c>
      <c r="F246" s="7" t="s">
        <v>2067</v>
      </c>
      <c r="G246" s="7" t="s">
        <v>2068</v>
      </c>
      <c r="H246" s="5" t="s">
        <v>2069</v>
      </c>
      <c r="I246" s="5" t="s">
        <v>2070</v>
      </c>
      <c r="J246" s="5" t="s">
        <v>5</v>
      </c>
      <c r="K246" s="5" t="s">
        <v>32</v>
      </c>
      <c r="L246" s="5" t="s">
        <v>2071</v>
      </c>
      <c r="M246" s="5" t="s">
        <v>73</v>
      </c>
    </row>
    <row r="247" ht="22.5" customHeight="1">
      <c r="A247" s="4">
        <v>46055.03157497685</v>
      </c>
      <c r="B247" s="5" t="s">
        <v>2072</v>
      </c>
      <c r="C247" s="5" t="s">
        <v>2073</v>
      </c>
      <c r="D247" s="5" t="s">
        <v>2074</v>
      </c>
      <c r="E247" s="5" t="s">
        <v>16</v>
      </c>
      <c r="F247" s="7" t="s">
        <v>2075</v>
      </c>
      <c r="G247" s="7" t="s">
        <v>2076</v>
      </c>
      <c r="H247" s="5" t="s">
        <v>2077</v>
      </c>
      <c r="I247" s="5" t="s">
        <v>2078</v>
      </c>
      <c r="J247" s="5" t="s">
        <v>2079</v>
      </c>
      <c r="K247" s="5" t="s">
        <v>22</v>
      </c>
      <c r="L247" s="5" t="s">
        <v>123</v>
      </c>
      <c r="M247" s="5" t="s">
        <v>2080</v>
      </c>
    </row>
    <row r="248" ht="22.5" customHeight="1">
      <c r="A248" s="4">
        <v>46055.181821527774</v>
      </c>
      <c r="B248" s="5" t="s">
        <v>2081</v>
      </c>
      <c r="C248" s="6" t="s">
        <v>2082</v>
      </c>
      <c r="D248" s="5" t="s">
        <v>2083</v>
      </c>
      <c r="E248" s="5" t="s">
        <v>16</v>
      </c>
      <c r="F248" s="7" t="s">
        <v>2084</v>
      </c>
      <c r="G248" s="7" t="s">
        <v>2085</v>
      </c>
      <c r="H248" s="5" t="s">
        <v>2086</v>
      </c>
      <c r="I248" s="5" t="s">
        <v>2087</v>
      </c>
      <c r="J248" s="5" t="s">
        <v>149</v>
      </c>
      <c r="K248" s="5" t="s">
        <v>110</v>
      </c>
      <c r="L248" s="5" t="s">
        <v>2088</v>
      </c>
      <c r="M248" s="5" t="s">
        <v>2089</v>
      </c>
    </row>
    <row r="249" ht="22.5" customHeight="1">
      <c r="A249" s="4">
        <v>46055.63717630787</v>
      </c>
      <c r="B249" s="5" t="s">
        <v>2090</v>
      </c>
      <c r="C249" s="6" t="s">
        <v>2091</v>
      </c>
      <c r="D249" s="5" t="s">
        <v>2092</v>
      </c>
      <c r="E249" s="5" t="s">
        <v>16</v>
      </c>
      <c r="F249" s="7" t="s">
        <v>2093</v>
      </c>
      <c r="G249" s="7" t="s">
        <v>2094</v>
      </c>
      <c r="H249" s="5" t="s">
        <v>2095</v>
      </c>
      <c r="I249" s="5" t="s">
        <v>2096</v>
      </c>
      <c r="J249" s="5" t="s">
        <v>2097</v>
      </c>
      <c r="K249" s="5" t="s">
        <v>32</v>
      </c>
      <c r="L249" s="5" t="s">
        <v>2098</v>
      </c>
      <c r="M249" s="5" t="s">
        <v>2099</v>
      </c>
    </row>
    <row r="250" ht="22.5" customHeight="1">
      <c r="A250" s="4">
        <v>46056.287458692124</v>
      </c>
      <c r="B250" s="5" t="s">
        <v>2100</v>
      </c>
      <c r="C250" s="6" t="s">
        <v>2101</v>
      </c>
      <c r="D250" s="5" t="s">
        <v>2102</v>
      </c>
      <c r="E250" s="5" t="s">
        <v>16</v>
      </c>
      <c r="F250" s="7" t="s">
        <v>2103</v>
      </c>
      <c r="G250" s="7" t="s">
        <v>2104</v>
      </c>
      <c r="H250" s="5" t="s">
        <v>2105</v>
      </c>
      <c r="I250" s="5" t="s">
        <v>2106</v>
      </c>
      <c r="J250" s="5" t="s">
        <v>2107</v>
      </c>
      <c r="K250" s="5" t="s">
        <v>110</v>
      </c>
      <c r="L250" s="5" t="s">
        <v>2108</v>
      </c>
      <c r="M250" s="5" t="s">
        <v>2109</v>
      </c>
    </row>
    <row r="251" ht="22.5" customHeight="1">
      <c r="A251" s="4">
        <v>46056.480185381944</v>
      </c>
      <c r="B251" s="5" t="s">
        <v>2110</v>
      </c>
      <c r="C251" s="6" t="s">
        <v>2111</v>
      </c>
      <c r="D251" s="5" t="s">
        <v>2112</v>
      </c>
      <c r="E251" s="5" t="s">
        <v>16</v>
      </c>
      <c r="F251" s="7" t="s">
        <v>2113</v>
      </c>
      <c r="G251" s="7" t="s">
        <v>2114</v>
      </c>
      <c r="H251" s="5" t="s">
        <v>2115</v>
      </c>
      <c r="I251" s="5" t="s">
        <v>2116</v>
      </c>
      <c r="J251" s="5" t="s">
        <v>248</v>
      </c>
      <c r="K251" s="5" t="s">
        <v>22</v>
      </c>
      <c r="L251" s="5" t="s">
        <v>123</v>
      </c>
      <c r="M251" s="5" t="s">
        <v>2117</v>
      </c>
    </row>
    <row r="252" ht="22.5" customHeight="1">
      <c r="A252" s="4">
        <v>46056.59202023148</v>
      </c>
      <c r="B252" s="5" t="s">
        <v>113</v>
      </c>
      <c r="C252" s="6" t="s">
        <v>114</v>
      </c>
      <c r="D252" s="5" t="s">
        <v>115</v>
      </c>
      <c r="E252" s="5" t="s">
        <v>16</v>
      </c>
      <c r="F252" s="7" t="s">
        <v>2118</v>
      </c>
      <c r="G252" s="7" t="s">
        <v>2119</v>
      </c>
      <c r="H252" s="5" t="s">
        <v>2120</v>
      </c>
      <c r="I252" s="5" t="s">
        <v>2121</v>
      </c>
      <c r="J252" s="5" t="s">
        <v>2122</v>
      </c>
      <c r="K252" s="5" t="s">
        <v>22</v>
      </c>
      <c r="L252" s="5" t="s">
        <v>123</v>
      </c>
      <c r="M252" s="5" t="s">
        <v>2123</v>
      </c>
    </row>
    <row r="253" ht="22.5" customHeight="1">
      <c r="A253" s="4">
        <v>46056.595098564816</v>
      </c>
      <c r="B253" s="5" t="s">
        <v>2124</v>
      </c>
      <c r="C253" s="6" t="s">
        <v>2125</v>
      </c>
      <c r="D253" s="5" t="s">
        <v>2126</v>
      </c>
      <c r="E253" s="5" t="s">
        <v>47</v>
      </c>
      <c r="F253" s="7" t="s">
        <v>2127</v>
      </c>
      <c r="G253" s="7" t="s">
        <v>2128</v>
      </c>
      <c r="H253" s="5" t="s">
        <v>2129</v>
      </c>
      <c r="I253" s="5" t="s">
        <v>2130</v>
      </c>
      <c r="J253" s="5" t="s">
        <v>2131</v>
      </c>
      <c r="K253" s="5" t="s">
        <v>32</v>
      </c>
      <c r="L253" s="5" t="s">
        <v>123</v>
      </c>
      <c r="M253" s="5" t="s">
        <v>2132</v>
      </c>
    </row>
    <row r="254" ht="22.5" customHeight="1">
      <c r="A254" s="4">
        <v>46057.03968407407</v>
      </c>
      <c r="B254" s="5" t="s">
        <v>2133</v>
      </c>
      <c r="C254" s="6" t="s">
        <v>2134</v>
      </c>
      <c r="D254" s="5" t="s">
        <v>2135</v>
      </c>
      <c r="E254" s="5" t="s">
        <v>16</v>
      </c>
      <c r="F254" s="8" t="s">
        <v>2136</v>
      </c>
      <c r="G254" s="7" t="s">
        <v>2137</v>
      </c>
      <c r="H254" s="5" t="s">
        <v>2138</v>
      </c>
      <c r="I254" s="5" t="s">
        <v>2139</v>
      </c>
      <c r="J254" s="5" t="s">
        <v>2140</v>
      </c>
      <c r="K254" s="5" t="s">
        <v>32</v>
      </c>
      <c r="L254" s="5" t="s">
        <v>123</v>
      </c>
      <c r="M254" s="5" t="s">
        <v>43</v>
      </c>
    </row>
    <row r="255" ht="22.5" customHeight="1">
      <c r="A255" s="4">
        <v>46057.39850555555</v>
      </c>
      <c r="B255" s="5" t="s">
        <v>2141</v>
      </c>
      <c r="C255" s="6" t="s">
        <v>2142</v>
      </c>
      <c r="D255" s="5" t="s">
        <v>2143</v>
      </c>
      <c r="E255" s="5" t="s">
        <v>16</v>
      </c>
      <c r="F255" s="7" t="s">
        <v>2144</v>
      </c>
      <c r="G255" s="7" t="s">
        <v>2145</v>
      </c>
      <c r="H255" s="5" t="s">
        <v>2146</v>
      </c>
      <c r="I255" s="5" t="s">
        <v>2147</v>
      </c>
      <c r="J255" s="5" t="s">
        <v>581</v>
      </c>
      <c r="K255" s="5" t="s">
        <v>32</v>
      </c>
      <c r="L255" s="5" t="s">
        <v>259</v>
      </c>
      <c r="M255" s="5" t="s">
        <v>2148</v>
      </c>
    </row>
    <row r="256" ht="22.5" customHeight="1">
      <c r="A256" s="4">
        <v>46057.55864253472</v>
      </c>
      <c r="B256" s="5" t="s">
        <v>2149</v>
      </c>
      <c r="C256" s="6" t="s">
        <v>2150</v>
      </c>
      <c r="D256" s="5" t="s">
        <v>2151</v>
      </c>
      <c r="E256" s="5" t="s">
        <v>47</v>
      </c>
      <c r="F256" s="7" t="s">
        <v>2152</v>
      </c>
      <c r="G256" s="7" t="s">
        <v>2153</v>
      </c>
      <c r="H256" s="5" t="s">
        <v>2154</v>
      </c>
      <c r="I256" s="5" t="s">
        <v>2155</v>
      </c>
      <c r="J256" s="5" t="s">
        <v>1874</v>
      </c>
      <c r="K256" s="5" t="s">
        <v>122</v>
      </c>
      <c r="L256" s="5" t="s">
        <v>2156</v>
      </c>
      <c r="M256" s="5" t="s">
        <v>73</v>
      </c>
    </row>
    <row r="257" ht="22.5" customHeight="1">
      <c r="A257" s="4">
        <v>46057.60745711805</v>
      </c>
      <c r="B257" s="5" t="s">
        <v>2157</v>
      </c>
      <c r="C257" s="6" t="s">
        <v>2158</v>
      </c>
      <c r="D257" s="5" t="s">
        <v>2159</v>
      </c>
      <c r="E257" s="5" t="s">
        <v>16</v>
      </c>
      <c r="F257" s="7" t="s">
        <v>2160</v>
      </c>
      <c r="G257" s="7" t="s">
        <v>2161</v>
      </c>
      <c r="H257" s="5" t="s">
        <v>2162</v>
      </c>
      <c r="I257" s="5" t="s">
        <v>2163</v>
      </c>
      <c r="J257" s="5" t="s">
        <v>21</v>
      </c>
      <c r="K257" s="5" t="s">
        <v>32</v>
      </c>
      <c r="L257" s="5" t="s">
        <v>141</v>
      </c>
      <c r="M257" s="5" t="s">
        <v>73</v>
      </c>
    </row>
    <row r="258" ht="22.5" customHeight="1">
      <c r="A258" s="4">
        <v>46057.7989780787</v>
      </c>
      <c r="B258" s="5" t="s">
        <v>2164</v>
      </c>
      <c r="C258" s="6" t="s">
        <v>2165</v>
      </c>
      <c r="D258" s="5" t="s">
        <v>2166</v>
      </c>
      <c r="E258" s="5" t="s">
        <v>47</v>
      </c>
      <c r="F258" s="7" t="s">
        <v>2167</v>
      </c>
      <c r="G258" s="7" t="s">
        <v>2168</v>
      </c>
      <c r="H258" s="5" t="s">
        <v>2169</v>
      </c>
      <c r="I258" s="5" t="s">
        <v>2170</v>
      </c>
      <c r="J258" s="5" t="s">
        <v>5</v>
      </c>
      <c r="K258" s="5" t="s">
        <v>22</v>
      </c>
      <c r="L258" s="5" t="s">
        <v>2171</v>
      </c>
      <c r="M258" s="5" t="s">
        <v>2172</v>
      </c>
    </row>
    <row r="259" ht="22.5" customHeight="1">
      <c r="A259" s="4">
        <v>46058.06980336805</v>
      </c>
      <c r="B259" s="5" t="s">
        <v>2173</v>
      </c>
      <c r="C259" s="6" t="s">
        <v>2174</v>
      </c>
      <c r="D259" s="5" t="s">
        <v>2175</v>
      </c>
      <c r="E259" s="5" t="s">
        <v>16</v>
      </c>
      <c r="F259" s="7" t="s">
        <v>2176</v>
      </c>
      <c r="G259" s="7" t="s">
        <v>2177</v>
      </c>
      <c r="H259" s="5" t="s">
        <v>2178</v>
      </c>
      <c r="I259" s="5" t="s">
        <v>2179</v>
      </c>
      <c r="J259" s="5" t="s">
        <v>2180</v>
      </c>
      <c r="K259" s="5" t="s">
        <v>32</v>
      </c>
      <c r="L259" s="5" t="s">
        <v>2181</v>
      </c>
      <c r="M259" s="5" t="s">
        <v>112</v>
      </c>
    </row>
    <row r="260" ht="22.5" customHeight="1">
      <c r="A260" s="4">
        <v>46058.495369212964</v>
      </c>
      <c r="B260" s="5" t="s">
        <v>2182</v>
      </c>
      <c r="C260" s="6" t="s">
        <v>2183</v>
      </c>
      <c r="D260" s="5" t="s">
        <v>2184</v>
      </c>
      <c r="E260" s="5" t="s">
        <v>16</v>
      </c>
      <c r="F260" s="7" t="s">
        <v>2185</v>
      </c>
      <c r="G260" s="7" t="s">
        <v>2186</v>
      </c>
      <c r="H260" s="5" t="s">
        <v>2187</v>
      </c>
      <c r="I260" s="5" t="s">
        <v>2188</v>
      </c>
      <c r="J260" s="5" t="s">
        <v>176</v>
      </c>
      <c r="K260" s="5" t="s">
        <v>122</v>
      </c>
      <c r="L260" s="5" t="s">
        <v>1384</v>
      </c>
      <c r="M260" s="5" t="s">
        <v>2189</v>
      </c>
    </row>
    <row r="261" ht="22.5" customHeight="1">
      <c r="A261" s="4">
        <v>46058.57197607639</v>
      </c>
      <c r="B261" s="5" t="s">
        <v>2190</v>
      </c>
      <c r="C261" s="6" t="s">
        <v>2191</v>
      </c>
      <c r="D261" s="5" t="s">
        <v>2192</v>
      </c>
      <c r="E261" s="5" t="s">
        <v>16</v>
      </c>
      <c r="F261" s="5" t="s">
        <v>292</v>
      </c>
      <c r="G261" s="7" t="s">
        <v>2193</v>
      </c>
      <c r="H261" s="5" t="s">
        <v>2194</v>
      </c>
      <c r="I261" s="5" t="s">
        <v>2195</v>
      </c>
      <c r="J261" s="5" t="s">
        <v>168</v>
      </c>
      <c r="K261" s="5" t="s">
        <v>32</v>
      </c>
      <c r="L261" s="5" t="s">
        <v>2196</v>
      </c>
      <c r="M261" s="5" t="s">
        <v>20</v>
      </c>
    </row>
    <row r="262" ht="22.5" customHeight="1">
      <c r="A262" s="4">
        <v>46058.574648587964</v>
      </c>
      <c r="B262" s="5" t="s">
        <v>2190</v>
      </c>
      <c r="C262" s="6" t="s">
        <v>2191</v>
      </c>
      <c r="D262" s="5" t="s">
        <v>2192</v>
      </c>
      <c r="E262" s="5" t="s">
        <v>16</v>
      </c>
      <c r="F262" s="5" t="s">
        <v>292</v>
      </c>
      <c r="G262" s="7" t="s">
        <v>2197</v>
      </c>
      <c r="H262" s="5" t="s">
        <v>2198</v>
      </c>
      <c r="I262" s="5" t="s">
        <v>2199</v>
      </c>
      <c r="J262" s="5" t="s">
        <v>168</v>
      </c>
      <c r="K262" s="5" t="s">
        <v>32</v>
      </c>
      <c r="L262" s="5" t="s">
        <v>2200</v>
      </c>
      <c r="M262" s="5" t="s">
        <v>20</v>
      </c>
    </row>
    <row r="263" ht="22.5" customHeight="1">
      <c r="A263" s="4">
        <v>46058.85829607639</v>
      </c>
      <c r="B263" s="5" t="s">
        <v>2201</v>
      </c>
      <c r="C263" s="6" t="s">
        <v>2202</v>
      </c>
      <c r="D263" s="5" t="s">
        <v>2203</v>
      </c>
      <c r="E263" s="5" t="s">
        <v>16</v>
      </c>
      <c r="F263" s="7" t="s">
        <v>2204</v>
      </c>
      <c r="G263" s="7" t="s">
        <v>2205</v>
      </c>
      <c r="H263" s="8" t="s">
        <v>2206</v>
      </c>
      <c r="I263" s="8" t="s">
        <v>2207</v>
      </c>
      <c r="J263" s="8" t="s">
        <v>2208</v>
      </c>
      <c r="K263" s="5" t="s">
        <v>32</v>
      </c>
      <c r="L263" s="5" t="s">
        <v>91</v>
      </c>
      <c r="M263" s="8" t="s">
        <v>2209</v>
      </c>
    </row>
    <row r="264" ht="22.5" customHeight="1">
      <c r="A264" s="4">
        <v>46058.98942805556</v>
      </c>
      <c r="B264" s="5" t="s">
        <v>2210</v>
      </c>
      <c r="C264" s="6" t="s">
        <v>2211</v>
      </c>
      <c r="D264" s="5" t="s">
        <v>2212</v>
      </c>
      <c r="E264" s="5" t="s">
        <v>16</v>
      </c>
      <c r="F264" s="7" t="s">
        <v>2213</v>
      </c>
      <c r="G264" s="7" t="s">
        <v>2214</v>
      </c>
      <c r="H264" s="5" t="s">
        <v>2215</v>
      </c>
      <c r="I264" s="5" t="s">
        <v>2216</v>
      </c>
      <c r="J264" s="5" t="s">
        <v>176</v>
      </c>
      <c r="K264" s="5" t="s">
        <v>32</v>
      </c>
      <c r="L264" s="5" t="s">
        <v>2217</v>
      </c>
      <c r="M264" s="5" t="s">
        <v>2218</v>
      </c>
    </row>
    <row r="265" ht="22.5" customHeight="1">
      <c r="A265" s="4">
        <v>46059.228300324074</v>
      </c>
      <c r="B265" s="5" t="s">
        <v>2219</v>
      </c>
      <c r="C265" s="6" t="s">
        <v>2220</v>
      </c>
      <c r="D265" s="5" t="s">
        <v>2221</v>
      </c>
      <c r="E265" s="5" t="s">
        <v>116</v>
      </c>
      <c r="F265" s="7" t="s">
        <v>2222</v>
      </c>
      <c r="G265" s="7" t="s">
        <v>2223</v>
      </c>
      <c r="H265" s="5" t="s">
        <v>2224</v>
      </c>
      <c r="I265" s="5" t="s">
        <v>2225</v>
      </c>
      <c r="J265" s="5" t="s">
        <v>21</v>
      </c>
      <c r="K265" s="5" t="s">
        <v>110</v>
      </c>
      <c r="L265" s="5" t="s">
        <v>123</v>
      </c>
      <c r="M265" s="5" t="s">
        <v>178</v>
      </c>
    </row>
    <row r="266" ht="22.5" customHeight="1">
      <c r="A266" s="4">
        <v>46059.319407233794</v>
      </c>
      <c r="B266" s="5" t="s">
        <v>2226</v>
      </c>
      <c r="C266" s="6" t="s">
        <v>2227</v>
      </c>
      <c r="D266" s="5" t="s">
        <v>2228</v>
      </c>
      <c r="E266" s="5" t="s">
        <v>47</v>
      </c>
      <c r="F266" s="7" t="s">
        <v>2229</v>
      </c>
      <c r="G266" s="7" t="s">
        <v>2230</v>
      </c>
      <c r="H266" s="5" t="s">
        <v>2231</v>
      </c>
      <c r="I266" s="5" t="s">
        <v>2232</v>
      </c>
      <c r="J266" s="5" t="s">
        <v>5</v>
      </c>
      <c r="K266" s="5" t="s">
        <v>22</v>
      </c>
      <c r="L266" s="5" t="s">
        <v>408</v>
      </c>
      <c r="M266" s="5" t="s">
        <v>2233</v>
      </c>
    </row>
    <row r="267" ht="22.5" customHeight="1">
      <c r="A267" s="4">
        <v>46059.55582587963</v>
      </c>
      <c r="B267" s="5" t="s">
        <v>2234</v>
      </c>
      <c r="C267" s="6" t="s">
        <v>2235</v>
      </c>
      <c r="D267" s="5" t="s">
        <v>2236</v>
      </c>
      <c r="E267" s="5" t="s">
        <v>16</v>
      </c>
      <c r="F267" s="7" t="s">
        <v>2237</v>
      </c>
      <c r="G267" s="7" t="s">
        <v>2238</v>
      </c>
      <c r="H267" s="5" t="s">
        <v>2239</v>
      </c>
      <c r="I267" s="5" t="s">
        <v>2240</v>
      </c>
      <c r="J267" s="5" t="s">
        <v>355</v>
      </c>
      <c r="K267" s="5" t="s">
        <v>122</v>
      </c>
      <c r="L267" s="5" t="s">
        <v>2241</v>
      </c>
      <c r="M267" s="5" t="s">
        <v>2242</v>
      </c>
    </row>
    <row r="268" ht="22.5" customHeight="1">
      <c r="A268" s="4">
        <v>46059.80761969907</v>
      </c>
      <c r="B268" s="5" t="s">
        <v>2243</v>
      </c>
      <c r="C268" s="6" t="s">
        <v>2244</v>
      </c>
      <c r="D268" s="5" t="s">
        <v>2245</v>
      </c>
      <c r="E268" s="5" t="s">
        <v>16</v>
      </c>
      <c r="F268" s="7" t="s">
        <v>2246</v>
      </c>
      <c r="G268" s="7" t="s">
        <v>2247</v>
      </c>
      <c r="H268" s="5" t="s">
        <v>2248</v>
      </c>
      <c r="I268" s="5" t="s">
        <v>2249</v>
      </c>
      <c r="J268" s="5" t="s">
        <v>1788</v>
      </c>
      <c r="K268" s="5" t="s">
        <v>122</v>
      </c>
      <c r="L268" s="5" t="s">
        <v>2250</v>
      </c>
      <c r="M268" s="5" t="s">
        <v>20</v>
      </c>
    </row>
    <row r="269" ht="22.5" customHeight="1">
      <c r="A269" s="4">
        <v>46059.895652430554</v>
      </c>
      <c r="B269" s="5" t="s">
        <v>2251</v>
      </c>
      <c r="C269" s="6" t="s">
        <v>2252</v>
      </c>
      <c r="D269" s="5" t="s">
        <v>2253</v>
      </c>
      <c r="E269" s="5" t="s">
        <v>16</v>
      </c>
      <c r="F269" s="7" t="s">
        <v>2254</v>
      </c>
      <c r="G269" s="7" t="s">
        <v>2255</v>
      </c>
      <c r="H269" s="5" t="s">
        <v>2256</v>
      </c>
      <c r="I269" s="5" t="s">
        <v>2257</v>
      </c>
      <c r="J269" s="5" t="s">
        <v>248</v>
      </c>
      <c r="K269" s="5" t="s">
        <v>32</v>
      </c>
      <c r="L269" s="5" t="s">
        <v>2258</v>
      </c>
      <c r="M269" s="5" t="s">
        <v>417</v>
      </c>
    </row>
    <row r="270" ht="22.5" customHeight="1">
      <c r="A270" s="4">
        <v>46059.91706740741</v>
      </c>
      <c r="B270" s="5" t="s">
        <v>2259</v>
      </c>
      <c r="C270" s="6" t="s">
        <v>2260</v>
      </c>
      <c r="D270" s="5" t="s">
        <v>2261</v>
      </c>
      <c r="E270" s="5" t="s">
        <v>16</v>
      </c>
      <c r="F270" s="7" t="s">
        <v>2262</v>
      </c>
      <c r="G270" s="7" t="s">
        <v>2263</v>
      </c>
      <c r="H270" s="5" t="s">
        <v>2264</v>
      </c>
      <c r="I270" s="5" t="s">
        <v>2265</v>
      </c>
      <c r="J270" s="5" t="s">
        <v>31</v>
      </c>
      <c r="K270" s="5" t="s">
        <v>32</v>
      </c>
      <c r="L270" s="5" t="s">
        <v>2266</v>
      </c>
      <c r="M270" s="5" t="s">
        <v>417</v>
      </c>
    </row>
    <row r="271" ht="22.5" customHeight="1">
      <c r="A271" s="4">
        <v>46059.93690202547</v>
      </c>
      <c r="B271" s="5" t="s">
        <v>2267</v>
      </c>
      <c r="C271" s="6" t="s">
        <v>2268</v>
      </c>
      <c r="D271" s="5" t="s">
        <v>2269</v>
      </c>
      <c r="E271" s="5" t="s">
        <v>16</v>
      </c>
      <c r="F271" s="7" t="s">
        <v>2270</v>
      </c>
      <c r="G271" s="7" t="s">
        <v>2271</v>
      </c>
      <c r="H271" s="5" t="s">
        <v>2272</v>
      </c>
      <c r="I271" s="5" t="s">
        <v>2273</v>
      </c>
      <c r="J271" s="5" t="s">
        <v>2274</v>
      </c>
      <c r="K271" s="5" t="s">
        <v>22</v>
      </c>
      <c r="L271" s="5" t="s">
        <v>91</v>
      </c>
      <c r="M271" s="5" t="s">
        <v>2275</v>
      </c>
    </row>
    <row r="272" ht="22.5" customHeight="1">
      <c r="A272" s="4">
        <v>46062.380009444445</v>
      </c>
      <c r="B272" s="5" t="s">
        <v>2276</v>
      </c>
      <c r="C272" s="6" t="s">
        <v>2277</v>
      </c>
      <c r="D272" s="5" t="s">
        <v>2278</v>
      </c>
      <c r="E272" s="5" t="s">
        <v>47</v>
      </c>
      <c r="F272" s="7" t="s">
        <v>2279</v>
      </c>
      <c r="G272" s="7" t="s">
        <v>2280</v>
      </c>
      <c r="H272" s="5" t="s">
        <v>2281</v>
      </c>
      <c r="I272" s="5" t="s">
        <v>2282</v>
      </c>
      <c r="J272" s="5" t="s">
        <v>5</v>
      </c>
      <c r="K272" s="5" t="s">
        <v>32</v>
      </c>
      <c r="L272" s="5" t="s">
        <v>2283</v>
      </c>
      <c r="M272" s="5" t="s">
        <v>2284</v>
      </c>
    </row>
    <row r="273" ht="22.5" customHeight="1">
      <c r="A273" s="4">
        <v>46062.68772886574</v>
      </c>
      <c r="B273" s="5" t="s">
        <v>2285</v>
      </c>
      <c r="C273" s="6" t="s">
        <v>2286</v>
      </c>
      <c r="D273" s="5" t="s">
        <v>2287</v>
      </c>
      <c r="E273" s="5" t="s">
        <v>16</v>
      </c>
      <c r="F273" s="7" t="s">
        <v>2288</v>
      </c>
      <c r="G273" s="7" t="s">
        <v>2289</v>
      </c>
      <c r="H273" s="5" t="s">
        <v>2290</v>
      </c>
      <c r="I273" s="5" t="s">
        <v>2291</v>
      </c>
      <c r="J273" s="5" t="s">
        <v>2292</v>
      </c>
      <c r="K273" s="5" t="s">
        <v>32</v>
      </c>
      <c r="L273" s="5" t="s">
        <v>123</v>
      </c>
      <c r="M273" s="5" t="s">
        <v>2293</v>
      </c>
    </row>
    <row r="274" ht="22.5" customHeight="1">
      <c r="A274" s="4">
        <v>46062.707686875</v>
      </c>
      <c r="B274" s="5" t="s">
        <v>2294</v>
      </c>
      <c r="C274" s="6" t="s">
        <v>2295</v>
      </c>
      <c r="D274" s="5" t="s">
        <v>2296</v>
      </c>
      <c r="E274" s="5" t="s">
        <v>47</v>
      </c>
      <c r="F274" s="5" t="s">
        <v>2297</v>
      </c>
      <c r="G274" s="7" t="s">
        <v>2298</v>
      </c>
      <c r="H274" s="5" t="s">
        <v>2299</v>
      </c>
      <c r="I274" s="8" t="s">
        <v>2300</v>
      </c>
      <c r="J274" s="5" t="s">
        <v>581</v>
      </c>
      <c r="K274" s="5" t="s">
        <v>22</v>
      </c>
      <c r="L274" s="5" t="s">
        <v>2301</v>
      </c>
      <c r="M274" s="5" t="s">
        <v>73</v>
      </c>
    </row>
    <row r="275" ht="22.5" customHeight="1">
      <c r="A275" s="4">
        <v>46062.70927466435</v>
      </c>
      <c r="B275" s="5" t="s">
        <v>2302</v>
      </c>
      <c r="C275" s="6" t="s">
        <v>1431</v>
      </c>
      <c r="D275" s="5" t="s">
        <v>1432</v>
      </c>
      <c r="E275" s="5" t="s">
        <v>47</v>
      </c>
      <c r="F275" s="7" t="s">
        <v>1433</v>
      </c>
      <c r="G275" s="7" t="s">
        <v>2303</v>
      </c>
      <c r="H275" s="5" t="s">
        <v>2304</v>
      </c>
      <c r="I275" s="5" t="s">
        <v>2305</v>
      </c>
      <c r="J275" s="5" t="s">
        <v>248</v>
      </c>
      <c r="K275" s="5" t="s">
        <v>122</v>
      </c>
      <c r="L275" s="5" t="s">
        <v>141</v>
      </c>
      <c r="M275" s="5" t="s">
        <v>20</v>
      </c>
    </row>
    <row r="276" ht="22.5" customHeight="1">
      <c r="A276" s="4">
        <v>46064.5571593287</v>
      </c>
      <c r="B276" s="5" t="s">
        <v>2306</v>
      </c>
      <c r="C276" s="6" t="s">
        <v>2307</v>
      </c>
      <c r="D276" s="5" t="s">
        <v>2308</v>
      </c>
      <c r="E276" s="5" t="s">
        <v>16</v>
      </c>
      <c r="F276" s="7" t="s">
        <v>2309</v>
      </c>
      <c r="G276" s="7" t="s">
        <v>2310</v>
      </c>
      <c r="H276" s="5" t="s">
        <v>2311</v>
      </c>
      <c r="I276" s="5" t="s">
        <v>2312</v>
      </c>
      <c r="J276" s="5" t="s">
        <v>2313</v>
      </c>
      <c r="K276" s="5" t="s">
        <v>122</v>
      </c>
      <c r="L276" s="5" t="s">
        <v>2314</v>
      </c>
      <c r="M276" s="5" t="s">
        <v>73</v>
      </c>
    </row>
    <row r="277" ht="22.5" customHeight="1">
      <c r="A277" s="4">
        <v>46064.573562199075</v>
      </c>
      <c r="B277" s="5" t="s">
        <v>2315</v>
      </c>
      <c r="C277" s="6" t="s">
        <v>2316</v>
      </c>
      <c r="D277" s="5" t="s">
        <v>2317</v>
      </c>
      <c r="E277" s="5" t="s">
        <v>16</v>
      </c>
      <c r="F277" s="7" t="s">
        <v>2318</v>
      </c>
      <c r="G277" s="7" t="s">
        <v>2319</v>
      </c>
      <c r="H277" s="5" t="s">
        <v>2320</v>
      </c>
      <c r="I277" s="5" t="s">
        <v>2321</v>
      </c>
      <c r="J277" s="5" t="s">
        <v>2322</v>
      </c>
      <c r="K277" s="5" t="s">
        <v>32</v>
      </c>
      <c r="L277" s="5" t="s">
        <v>141</v>
      </c>
      <c r="M277" s="5" t="s">
        <v>2323</v>
      </c>
    </row>
    <row r="278" ht="22.5" customHeight="1">
      <c r="A278" s="4">
        <v>46064.586017002315</v>
      </c>
      <c r="B278" s="5" t="s">
        <v>2324</v>
      </c>
      <c r="C278" s="6" t="s">
        <v>2325</v>
      </c>
      <c r="D278" s="5" t="s">
        <v>2326</v>
      </c>
      <c r="E278" s="5" t="s">
        <v>47</v>
      </c>
      <c r="F278" s="7" t="s">
        <v>2327</v>
      </c>
      <c r="G278" s="7" t="s">
        <v>2328</v>
      </c>
      <c r="H278" s="5" t="s">
        <v>2329</v>
      </c>
      <c r="I278" s="5" t="s">
        <v>2330</v>
      </c>
      <c r="J278" s="5" t="s">
        <v>31</v>
      </c>
      <c r="K278" s="5" t="s">
        <v>110</v>
      </c>
      <c r="L278" s="5" t="s">
        <v>141</v>
      </c>
      <c r="M278" s="5" t="s">
        <v>101</v>
      </c>
    </row>
    <row r="279" ht="22.5" customHeight="1">
      <c r="A279" s="4">
        <v>46064.597901608795</v>
      </c>
      <c r="B279" s="5" t="s">
        <v>2331</v>
      </c>
      <c r="C279" s="6" t="s">
        <v>756</v>
      </c>
      <c r="D279" s="5" t="s">
        <v>2332</v>
      </c>
      <c r="E279" s="5" t="s">
        <v>47</v>
      </c>
      <c r="F279" s="7" t="s">
        <v>2333</v>
      </c>
      <c r="G279" s="7" t="s">
        <v>2334</v>
      </c>
      <c r="H279" s="8" t="s">
        <v>2335</v>
      </c>
      <c r="I279" s="8" t="s">
        <v>2336</v>
      </c>
      <c r="J279" s="8" t="s">
        <v>2337</v>
      </c>
      <c r="K279" s="5" t="s">
        <v>32</v>
      </c>
      <c r="L279" s="5" t="s">
        <v>1462</v>
      </c>
      <c r="M279" s="8" t="s">
        <v>2338</v>
      </c>
    </row>
    <row r="280" ht="22.5" customHeight="1">
      <c r="A280" s="4">
        <v>46064.60259197917</v>
      </c>
      <c r="B280" s="5" t="s">
        <v>2339</v>
      </c>
      <c r="C280" s="6" t="s">
        <v>2340</v>
      </c>
      <c r="D280" s="5" t="s">
        <v>2341</v>
      </c>
      <c r="E280" s="5" t="s">
        <v>47</v>
      </c>
      <c r="F280" s="7" t="s">
        <v>2342</v>
      </c>
      <c r="G280" s="7" t="s">
        <v>2343</v>
      </c>
      <c r="H280" s="5" t="s">
        <v>2344</v>
      </c>
      <c r="I280" s="5" t="s">
        <v>2345</v>
      </c>
      <c r="J280" s="8" t="s">
        <v>2346</v>
      </c>
      <c r="K280" s="5" t="s">
        <v>22</v>
      </c>
      <c r="L280" s="5" t="s">
        <v>2347</v>
      </c>
      <c r="M280" s="5" t="s">
        <v>142</v>
      </c>
    </row>
    <row r="281" ht="22.5" customHeight="1">
      <c r="A281" s="4">
        <v>46064.60342118055</v>
      </c>
      <c r="B281" s="5" t="s">
        <v>2348</v>
      </c>
      <c r="C281" s="6" t="s">
        <v>2349</v>
      </c>
      <c r="D281" s="5" t="s">
        <v>2350</v>
      </c>
      <c r="E281" s="5" t="s">
        <v>116</v>
      </c>
      <c r="F281" s="7" t="s">
        <v>2351</v>
      </c>
      <c r="G281" s="7" t="s">
        <v>2352</v>
      </c>
      <c r="H281" s="5" t="s">
        <v>2353</v>
      </c>
      <c r="I281" s="5" t="s">
        <v>2354</v>
      </c>
      <c r="J281" s="5" t="s">
        <v>2355</v>
      </c>
      <c r="K281" s="5" t="s">
        <v>122</v>
      </c>
      <c r="L281" s="5" t="s">
        <v>123</v>
      </c>
      <c r="M281" s="5" t="s">
        <v>2356</v>
      </c>
    </row>
    <row r="282" ht="22.5" customHeight="1">
      <c r="A282" s="4">
        <v>46064.60729163194</v>
      </c>
      <c r="B282" s="5" t="s">
        <v>2357</v>
      </c>
      <c r="C282" s="6" t="s">
        <v>2358</v>
      </c>
      <c r="D282" s="5" t="s">
        <v>2359</v>
      </c>
      <c r="E282" s="5" t="s">
        <v>16</v>
      </c>
      <c r="F282" s="7" t="s">
        <v>2360</v>
      </c>
      <c r="G282" s="7" t="s">
        <v>2361</v>
      </c>
      <c r="H282" s="5" t="s">
        <v>2362</v>
      </c>
      <c r="I282" s="5" t="s">
        <v>2363</v>
      </c>
      <c r="J282" s="5" t="s">
        <v>2364</v>
      </c>
      <c r="K282" s="5" t="s">
        <v>32</v>
      </c>
      <c r="L282" s="5" t="s">
        <v>141</v>
      </c>
      <c r="M282" s="5" t="s">
        <v>73</v>
      </c>
    </row>
    <row r="283" ht="22.5" customHeight="1">
      <c r="A283" s="4">
        <v>46064.60743188657</v>
      </c>
      <c r="B283" s="5" t="s">
        <v>2365</v>
      </c>
      <c r="C283" s="5" t="s">
        <v>2366</v>
      </c>
      <c r="D283" s="5" t="s">
        <v>2367</v>
      </c>
      <c r="E283" s="5" t="s">
        <v>47</v>
      </c>
      <c r="F283" s="7" t="s">
        <v>2368</v>
      </c>
      <c r="G283" s="7" t="s">
        <v>2369</v>
      </c>
      <c r="H283" s="5" t="s">
        <v>2370</v>
      </c>
      <c r="I283" s="5" t="s">
        <v>2371</v>
      </c>
      <c r="J283" s="5" t="s">
        <v>2372</v>
      </c>
      <c r="K283" s="5" t="s">
        <v>32</v>
      </c>
      <c r="L283" s="5" t="s">
        <v>141</v>
      </c>
      <c r="M283" s="5" t="s">
        <v>34</v>
      </c>
    </row>
    <row r="284" ht="22.5" customHeight="1">
      <c r="A284" s="4">
        <v>46064.61439021991</v>
      </c>
      <c r="B284" s="5" t="s">
        <v>2373</v>
      </c>
      <c r="C284" s="6" t="s">
        <v>2374</v>
      </c>
      <c r="D284" s="5" t="s">
        <v>2375</v>
      </c>
      <c r="E284" s="5" t="s">
        <v>16</v>
      </c>
      <c r="F284" s="7" t="s">
        <v>2376</v>
      </c>
      <c r="G284" s="7" t="s">
        <v>2377</v>
      </c>
      <c r="H284" s="5" t="s">
        <v>2378</v>
      </c>
      <c r="I284" s="5" t="s">
        <v>2379</v>
      </c>
      <c r="J284" s="5" t="s">
        <v>2380</v>
      </c>
      <c r="K284" s="5" t="s">
        <v>32</v>
      </c>
      <c r="L284" s="5" t="s">
        <v>2381</v>
      </c>
      <c r="M284" s="5" t="s">
        <v>839</v>
      </c>
    </row>
    <row r="285" ht="22.5" customHeight="1">
      <c r="A285" s="4">
        <v>46064.623070601854</v>
      </c>
      <c r="B285" s="5" t="s">
        <v>2382</v>
      </c>
      <c r="C285" s="6" t="s">
        <v>2383</v>
      </c>
      <c r="D285" s="5" t="s">
        <v>2384</v>
      </c>
      <c r="E285" s="5" t="s">
        <v>16</v>
      </c>
      <c r="F285" s="7" t="s">
        <v>2385</v>
      </c>
      <c r="G285" s="7" t="s">
        <v>2386</v>
      </c>
      <c r="H285" s="5" t="s">
        <v>2387</v>
      </c>
      <c r="I285" s="5" t="s">
        <v>2388</v>
      </c>
      <c r="J285" s="5" t="s">
        <v>149</v>
      </c>
      <c r="K285" s="5" t="s">
        <v>22</v>
      </c>
      <c r="L285" s="5" t="s">
        <v>123</v>
      </c>
      <c r="M285" s="5" t="s">
        <v>34</v>
      </c>
    </row>
    <row r="286" ht="22.5" customHeight="1">
      <c r="A286" s="4">
        <v>46064.62473387731</v>
      </c>
      <c r="B286" s="5" t="s">
        <v>2389</v>
      </c>
      <c r="C286" s="6" t="s">
        <v>2277</v>
      </c>
      <c r="D286" s="5" t="s">
        <v>2278</v>
      </c>
      <c r="E286" s="5" t="s">
        <v>47</v>
      </c>
      <c r="F286" s="7" t="s">
        <v>2279</v>
      </c>
      <c r="G286" s="7" t="s">
        <v>2390</v>
      </c>
      <c r="H286" s="5" t="s">
        <v>2391</v>
      </c>
      <c r="I286" s="5" t="s">
        <v>2392</v>
      </c>
      <c r="J286" s="5" t="s">
        <v>149</v>
      </c>
      <c r="K286" s="5" t="s">
        <v>32</v>
      </c>
      <c r="L286" s="5" t="s">
        <v>2393</v>
      </c>
      <c r="M286" s="5" t="s">
        <v>2394</v>
      </c>
    </row>
    <row r="287" ht="22.5" customHeight="1">
      <c r="A287" s="4">
        <v>46064.62894711806</v>
      </c>
      <c r="B287" s="5" t="s">
        <v>2395</v>
      </c>
      <c r="C287" s="6" t="s">
        <v>2396</v>
      </c>
      <c r="D287" s="5" t="s">
        <v>2397</v>
      </c>
      <c r="E287" s="5" t="s">
        <v>16</v>
      </c>
      <c r="F287" s="7" t="s">
        <v>2398</v>
      </c>
      <c r="G287" s="7" t="s">
        <v>2399</v>
      </c>
      <c r="H287" s="5" t="s">
        <v>2400</v>
      </c>
      <c r="I287" s="5" t="s">
        <v>2401</v>
      </c>
      <c r="J287" s="5" t="s">
        <v>2402</v>
      </c>
      <c r="K287" s="5" t="s">
        <v>110</v>
      </c>
      <c r="L287" s="5" t="s">
        <v>2403</v>
      </c>
      <c r="M287" s="5" t="s">
        <v>188</v>
      </c>
    </row>
    <row r="288" ht="22.5" customHeight="1">
      <c r="A288" s="4">
        <v>46064.636411134255</v>
      </c>
      <c r="B288" s="5" t="s">
        <v>2404</v>
      </c>
      <c r="C288" s="6" t="s">
        <v>2405</v>
      </c>
      <c r="D288" s="5" t="s">
        <v>2406</v>
      </c>
      <c r="E288" s="5" t="s">
        <v>16</v>
      </c>
      <c r="F288" s="7" t="s">
        <v>2407</v>
      </c>
      <c r="G288" s="7" t="s">
        <v>2408</v>
      </c>
      <c r="H288" s="5" t="s">
        <v>2409</v>
      </c>
      <c r="I288" s="5" t="s">
        <v>2410</v>
      </c>
      <c r="J288" s="5" t="s">
        <v>2411</v>
      </c>
      <c r="K288" s="5" t="s">
        <v>32</v>
      </c>
      <c r="L288" s="5" t="s">
        <v>2412</v>
      </c>
      <c r="M288" s="5" t="s">
        <v>2413</v>
      </c>
    </row>
    <row r="289" ht="22.5" customHeight="1">
      <c r="A289" s="4">
        <v>46064.64547611111</v>
      </c>
      <c r="B289" s="5" t="s">
        <v>2050</v>
      </c>
      <c r="C289" s="6" t="s">
        <v>2051</v>
      </c>
      <c r="D289" s="5" t="s">
        <v>2052</v>
      </c>
      <c r="E289" s="5" t="s">
        <v>16</v>
      </c>
      <c r="F289" s="7" t="s">
        <v>2053</v>
      </c>
      <c r="G289" s="7" t="s">
        <v>2414</v>
      </c>
      <c r="H289" s="5" t="s">
        <v>2415</v>
      </c>
      <c r="I289" s="5" t="s">
        <v>2416</v>
      </c>
      <c r="J289" s="5" t="s">
        <v>2417</v>
      </c>
      <c r="K289" s="5" t="s">
        <v>32</v>
      </c>
      <c r="L289" s="5" t="s">
        <v>123</v>
      </c>
      <c r="M289" s="5" t="s">
        <v>34</v>
      </c>
    </row>
    <row r="290" ht="22.5" customHeight="1">
      <c r="A290" s="4">
        <v>46064.64665456019</v>
      </c>
      <c r="B290" s="5" t="s">
        <v>2418</v>
      </c>
      <c r="C290" s="6" t="s">
        <v>2419</v>
      </c>
      <c r="D290" s="5" t="s">
        <v>2420</v>
      </c>
      <c r="E290" s="5" t="s">
        <v>47</v>
      </c>
      <c r="F290" s="7" t="s">
        <v>2421</v>
      </c>
      <c r="G290" s="7" t="s">
        <v>2422</v>
      </c>
      <c r="H290" s="5" t="s">
        <v>2423</v>
      </c>
      <c r="I290" s="5" t="s">
        <v>2424</v>
      </c>
      <c r="J290" s="5" t="s">
        <v>149</v>
      </c>
      <c r="K290" s="5" t="s">
        <v>110</v>
      </c>
      <c r="L290" s="5" t="s">
        <v>141</v>
      </c>
      <c r="M290" s="5" t="s">
        <v>73</v>
      </c>
    </row>
    <row r="291" ht="22.5" customHeight="1">
      <c r="A291" s="4">
        <v>46064.65328990741</v>
      </c>
      <c r="B291" s="5" t="s">
        <v>2425</v>
      </c>
      <c r="C291" s="6" t="s">
        <v>2426</v>
      </c>
      <c r="D291" s="5" t="s">
        <v>2427</v>
      </c>
      <c r="E291" s="5" t="s">
        <v>47</v>
      </c>
      <c r="F291" s="7" t="s">
        <v>361</v>
      </c>
      <c r="G291" s="7" t="s">
        <v>2428</v>
      </c>
      <c r="H291" s="8" t="s">
        <v>2429</v>
      </c>
      <c r="I291" s="8" t="s">
        <v>2430</v>
      </c>
      <c r="J291" s="5" t="s">
        <v>2431</v>
      </c>
      <c r="K291" s="5" t="s">
        <v>22</v>
      </c>
      <c r="L291" s="5" t="s">
        <v>408</v>
      </c>
      <c r="M291" s="5" t="s">
        <v>366</v>
      </c>
    </row>
    <row r="292" ht="22.5" customHeight="1">
      <c r="A292" s="4">
        <v>46064.66235201389</v>
      </c>
      <c r="B292" s="5" t="s">
        <v>2432</v>
      </c>
      <c r="C292" s="6" t="s">
        <v>2433</v>
      </c>
      <c r="D292" s="5" t="s">
        <v>2434</v>
      </c>
      <c r="E292" s="5" t="s">
        <v>116</v>
      </c>
      <c r="F292" s="7" t="s">
        <v>2435</v>
      </c>
      <c r="G292" s="7" t="s">
        <v>2436</v>
      </c>
      <c r="H292" s="5" t="s">
        <v>2437</v>
      </c>
      <c r="I292" s="5" t="s">
        <v>2438</v>
      </c>
      <c r="J292" s="5" t="s">
        <v>355</v>
      </c>
      <c r="K292" s="5" t="s">
        <v>122</v>
      </c>
      <c r="L292" s="5" t="s">
        <v>141</v>
      </c>
      <c r="M292" s="5" t="s">
        <v>142</v>
      </c>
    </row>
    <row r="293" ht="22.5" customHeight="1">
      <c r="A293" s="4">
        <v>46064.678618125</v>
      </c>
      <c r="B293" s="5" t="s">
        <v>2439</v>
      </c>
      <c r="C293" s="6" t="s">
        <v>2440</v>
      </c>
      <c r="D293" s="5" t="s">
        <v>2441</v>
      </c>
      <c r="E293" s="5" t="s">
        <v>47</v>
      </c>
      <c r="F293" s="7" t="s">
        <v>2442</v>
      </c>
      <c r="G293" s="7" t="s">
        <v>2443</v>
      </c>
      <c r="H293" s="5" t="s">
        <v>2444</v>
      </c>
      <c r="I293" s="5" t="s">
        <v>2445</v>
      </c>
      <c r="J293" s="5" t="s">
        <v>581</v>
      </c>
      <c r="K293" s="5" t="s">
        <v>22</v>
      </c>
      <c r="L293" s="5" t="s">
        <v>2446</v>
      </c>
      <c r="M293" s="5" t="s">
        <v>417</v>
      </c>
    </row>
    <row r="294" ht="22.5" customHeight="1">
      <c r="A294" s="4">
        <v>46064.67899028935</v>
      </c>
      <c r="B294" s="5" t="s">
        <v>2447</v>
      </c>
      <c r="C294" s="6" t="s">
        <v>2448</v>
      </c>
      <c r="D294" s="5" t="s">
        <v>2449</v>
      </c>
      <c r="E294" s="5" t="s">
        <v>47</v>
      </c>
      <c r="F294" s="7" t="s">
        <v>2450</v>
      </c>
      <c r="G294" s="7" t="s">
        <v>2451</v>
      </c>
      <c r="H294" s="5" t="s">
        <v>2452</v>
      </c>
      <c r="I294" s="5" t="s">
        <v>2452</v>
      </c>
      <c r="J294" s="5" t="s">
        <v>149</v>
      </c>
      <c r="K294" s="5" t="s">
        <v>32</v>
      </c>
      <c r="L294" s="5" t="s">
        <v>2453</v>
      </c>
      <c r="M294" s="5" t="s">
        <v>73</v>
      </c>
    </row>
    <row r="295" ht="22.5" customHeight="1">
      <c r="A295" s="4">
        <v>46064.69439386574</v>
      </c>
      <c r="B295" s="8" t="s">
        <v>2454</v>
      </c>
      <c r="C295" s="6" t="s">
        <v>2455</v>
      </c>
      <c r="D295" s="5" t="s">
        <v>2456</v>
      </c>
      <c r="E295" s="5" t="s">
        <v>47</v>
      </c>
      <c r="F295" s="7" t="s">
        <v>2457</v>
      </c>
      <c r="G295" s="7" t="s">
        <v>2458</v>
      </c>
      <c r="H295" s="8" t="s">
        <v>2459</v>
      </c>
      <c r="I295" s="8" t="s">
        <v>2460</v>
      </c>
      <c r="J295" s="8" t="s">
        <v>2461</v>
      </c>
      <c r="K295" s="5" t="s">
        <v>22</v>
      </c>
      <c r="L295" s="5" t="s">
        <v>123</v>
      </c>
      <c r="M295" s="8" t="s">
        <v>1385</v>
      </c>
    </row>
    <row r="296" ht="22.5" customHeight="1">
      <c r="A296" s="4">
        <v>46064.70235680556</v>
      </c>
      <c r="B296" s="5" t="s">
        <v>551</v>
      </c>
      <c r="C296" s="6" t="s">
        <v>552</v>
      </c>
      <c r="D296" s="5" t="s">
        <v>553</v>
      </c>
      <c r="E296" s="5" t="s">
        <v>47</v>
      </c>
      <c r="F296" s="7" t="s">
        <v>554</v>
      </c>
      <c r="G296" s="7" t="s">
        <v>2462</v>
      </c>
      <c r="H296" s="5" t="s">
        <v>2463</v>
      </c>
      <c r="I296" s="5" t="s">
        <v>2464</v>
      </c>
      <c r="J296" s="5" t="s">
        <v>31</v>
      </c>
      <c r="K296" s="5" t="s">
        <v>22</v>
      </c>
      <c r="L296" s="5" t="s">
        <v>141</v>
      </c>
      <c r="M296" s="5" t="s">
        <v>2465</v>
      </c>
    </row>
    <row r="297" ht="22.5" customHeight="1">
      <c r="A297" s="4">
        <v>46064.703871875</v>
      </c>
      <c r="B297" s="5" t="s">
        <v>125</v>
      </c>
      <c r="C297" s="5">
        <v>1.270700864E9</v>
      </c>
      <c r="D297" s="5" t="s">
        <v>2466</v>
      </c>
      <c r="E297" s="5" t="s">
        <v>47</v>
      </c>
      <c r="F297" s="7" t="s">
        <v>127</v>
      </c>
      <c r="G297" s="7" t="s">
        <v>2467</v>
      </c>
      <c r="H297" s="5" t="s">
        <v>2468</v>
      </c>
      <c r="I297" s="5" t="s">
        <v>2469</v>
      </c>
      <c r="J297" s="5" t="s">
        <v>2380</v>
      </c>
      <c r="K297" s="5" t="s">
        <v>110</v>
      </c>
      <c r="L297" s="5" t="s">
        <v>123</v>
      </c>
      <c r="M297" s="5" t="s">
        <v>2470</v>
      </c>
    </row>
    <row r="298" ht="22.5" customHeight="1">
      <c r="A298" s="4">
        <v>46064.725079537035</v>
      </c>
      <c r="B298" s="5" t="s">
        <v>2471</v>
      </c>
      <c r="C298" s="6" t="s">
        <v>2472</v>
      </c>
      <c r="D298" s="5" t="s">
        <v>2473</v>
      </c>
      <c r="E298" s="5" t="s">
        <v>16</v>
      </c>
      <c r="F298" s="7" t="s">
        <v>2474</v>
      </c>
      <c r="G298" s="7" t="s">
        <v>2475</v>
      </c>
      <c r="H298" s="5" t="s">
        <v>2476</v>
      </c>
      <c r="I298" s="5" t="s">
        <v>2477</v>
      </c>
      <c r="J298" s="5" t="s">
        <v>21</v>
      </c>
      <c r="K298" s="5" t="s">
        <v>32</v>
      </c>
      <c r="L298" s="5" t="s">
        <v>1393</v>
      </c>
      <c r="M298" s="5" t="s">
        <v>112</v>
      </c>
    </row>
    <row r="299" ht="22.5" customHeight="1">
      <c r="A299" s="4">
        <v>46064.7324621875</v>
      </c>
      <c r="B299" s="5" t="s">
        <v>2478</v>
      </c>
      <c r="C299" s="6" t="s">
        <v>2479</v>
      </c>
      <c r="D299" s="5" t="s">
        <v>2480</v>
      </c>
      <c r="E299" s="5" t="s">
        <v>47</v>
      </c>
      <c r="F299" s="7" t="s">
        <v>2481</v>
      </c>
      <c r="G299" s="7" t="s">
        <v>2482</v>
      </c>
      <c r="H299" s="5" t="s">
        <v>2483</v>
      </c>
      <c r="I299" s="8" t="s">
        <v>2484</v>
      </c>
      <c r="J299" s="5" t="s">
        <v>149</v>
      </c>
      <c r="K299" s="5" t="s">
        <v>32</v>
      </c>
      <c r="L299" s="5" t="s">
        <v>123</v>
      </c>
      <c r="M299" s="5" t="s">
        <v>34</v>
      </c>
    </row>
    <row r="300" ht="22.5" customHeight="1">
      <c r="A300" s="4">
        <v>46064.75811084491</v>
      </c>
      <c r="B300" s="5" t="s">
        <v>2485</v>
      </c>
      <c r="C300" s="6" t="s">
        <v>2486</v>
      </c>
      <c r="D300" s="5" t="s">
        <v>2487</v>
      </c>
      <c r="E300" s="5" t="s">
        <v>47</v>
      </c>
      <c r="F300" s="7" t="s">
        <v>2488</v>
      </c>
      <c r="G300" s="7" t="s">
        <v>2489</v>
      </c>
      <c r="H300" s="5" t="s">
        <v>2490</v>
      </c>
      <c r="I300" s="5" t="s">
        <v>2491</v>
      </c>
      <c r="J300" s="5" t="s">
        <v>581</v>
      </c>
      <c r="K300" s="5" t="s">
        <v>22</v>
      </c>
      <c r="L300" s="5" t="s">
        <v>2492</v>
      </c>
      <c r="M300" s="5" t="s">
        <v>2493</v>
      </c>
    </row>
    <row r="301" ht="22.5" customHeight="1">
      <c r="A301" s="4">
        <v>46064.76043766204</v>
      </c>
      <c r="B301" s="5" t="s">
        <v>93</v>
      </c>
      <c r="C301" s="5">
        <v>1.148660852E9</v>
      </c>
      <c r="D301" s="5" t="s">
        <v>94</v>
      </c>
      <c r="E301" s="5" t="s">
        <v>16</v>
      </c>
      <c r="F301" s="7" t="s">
        <v>95</v>
      </c>
      <c r="G301" s="7" t="s">
        <v>2494</v>
      </c>
      <c r="H301" s="5" t="s">
        <v>2495</v>
      </c>
      <c r="I301" s="5" t="s">
        <v>2496</v>
      </c>
      <c r="J301" s="5" t="s">
        <v>2497</v>
      </c>
      <c r="K301" s="5" t="s">
        <v>32</v>
      </c>
      <c r="L301" s="5" t="s">
        <v>2156</v>
      </c>
      <c r="M301" s="5" t="s">
        <v>2498</v>
      </c>
    </row>
    <row r="302" ht="22.5" customHeight="1">
      <c r="A302" s="4">
        <v>46064.778290243055</v>
      </c>
      <c r="B302" s="8" t="s">
        <v>2499</v>
      </c>
      <c r="C302" s="5" t="s">
        <v>2500</v>
      </c>
      <c r="D302" s="5" t="s">
        <v>2501</v>
      </c>
      <c r="E302" s="5" t="s">
        <v>16</v>
      </c>
      <c r="F302" s="7" t="s">
        <v>2502</v>
      </c>
      <c r="G302" s="7" t="s">
        <v>2503</v>
      </c>
      <c r="H302" s="5" t="s">
        <v>2504</v>
      </c>
      <c r="I302" s="5" t="s">
        <v>2505</v>
      </c>
      <c r="J302" s="5" t="s">
        <v>149</v>
      </c>
      <c r="K302" s="5" t="s">
        <v>32</v>
      </c>
      <c r="L302" s="5" t="s">
        <v>52</v>
      </c>
      <c r="M302" s="5" t="s">
        <v>34</v>
      </c>
    </row>
    <row r="303" ht="22.5" customHeight="1">
      <c r="A303" s="4">
        <v>46064.79602206018</v>
      </c>
      <c r="B303" s="5" t="s">
        <v>2506</v>
      </c>
      <c r="C303" s="6" t="s">
        <v>2507</v>
      </c>
      <c r="D303" s="5" t="s">
        <v>2508</v>
      </c>
      <c r="E303" s="5" t="s">
        <v>47</v>
      </c>
      <c r="F303" s="7" t="s">
        <v>2509</v>
      </c>
      <c r="G303" s="7" t="s">
        <v>2510</v>
      </c>
      <c r="H303" s="5" t="s">
        <v>2511</v>
      </c>
      <c r="I303" s="5" t="s">
        <v>2512</v>
      </c>
      <c r="J303" s="5" t="s">
        <v>2513</v>
      </c>
      <c r="K303" s="5" t="s">
        <v>122</v>
      </c>
      <c r="L303" s="5" t="s">
        <v>1417</v>
      </c>
      <c r="M303" s="5" t="s">
        <v>250</v>
      </c>
    </row>
    <row r="304" ht="22.5" customHeight="1">
      <c r="A304" s="4">
        <v>46064.80757148148</v>
      </c>
      <c r="B304" s="5" t="s">
        <v>2514</v>
      </c>
      <c r="C304" s="6" t="s">
        <v>2515</v>
      </c>
      <c r="D304" s="5" t="s">
        <v>2516</v>
      </c>
      <c r="E304" s="5" t="s">
        <v>47</v>
      </c>
      <c r="F304" s="7" t="s">
        <v>2517</v>
      </c>
      <c r="G304" s="7" t="s">
        <v>2518</v>
      </c>
      <c r="H304" s="8" t="s">
        <v>2519</v>
      </c>
      <c r="I304" s="8" t="s">
        <v>2520</v>
      </c>
      <c r="J304" s="5" t="s">
        <v>149</v>
      </c>
      <c r="K304" s="5" t="s">
        <v>110</v>
      </c>
      <c r="L304" s="5" t="s">
        <v>100</v>
      </c>
      <c r="M304" s="5" t="s">
        <v>112</v>
      </c>
    </row>
    <row r="305" ht="22.5" customHeight="1">
      <c r="A305" s="4">
        <v>46064.84400907408</v>
      </c>
      <c r="B305" s="5" t="s">
        <v>2521</v>
      </c>
      <c r="C305" s="6" t="s">
        <v>2522</v>
      </c>
      <c r="D305" s="5" t="s">
        <v>2523</v>
      </c>
      <c r="E305" s="5" t="s">
        <v>16</v>
      </c>
      <c r="F305" s="7" t="s">
        <v>2524</v>
      </c>
      <c r="G305" s="7" t="s">
        <v>2525</v>
      </c>
      <c r="H305" s="5" t="s">
        <v>2526</v>
      </c>
      <c r="I305" s="5" t="s">
        <v>2527</v>
      </c>
      <c r="J305" s="5" t="s">
        <v>149</v>
      </c>
      <c r="K305" s="5" t="s">
        <v>110</v>
      </c>
      <c r="L305" s="5" t="s">
        <v>141</v>
      </c>
      <c r="M305" s="5" t="s">
        <v>73</v>
      </c>
    </row>
    <row r="306" ht="22.5" customHeight="1">
      <c r="A306" s="4">
        <v>46064.84773046296</v>
      </c>
      <c r="B306" s="5" t="s">
        <v>2528</v>
      </c>
      <c r="C306" s="6" t="s">
        <v>2529</v>
      </c>
      <c r="D306" s="5" t="s">
        <v>2530</v>
      </c>
      <c r="E306" s="5" t="s">
        <v>47</v>
      </c>
      <c r="F306" s="7" t="s">
        <v>2531</v>
      </c>
      <c r="G306" s="7" t="s">
        <v>2532</v>
      </c>
      <c r="H306" s="5" t="s">
        <v>2533</v>
      </c>
      <c r="I306" s="5" t="s">
        <v>2534</v>
      </c>
      <c r="J306" s="5" t="s">
        <v>499</v>
      </c>
      <c r="K306" s="5" t="s">
        <v>22</v>
      </c>
      <c r="L306" s="5" t="s">
        <v>2535</v>
      </c>
      <c r="M306" s="5" t="s">
        <v>2536</v>
      </c>
    </row>
    <row r="307" ht="22.5" customHeight="1">
      <c r="A307" s="4">
        <v>46064.854487731485</v>
      </c>
      <c r="B307" s="5" t="s">
        <v>2537</v>
      </c>
      <c r="C307" s="6" t="s">
        <v>2538</v>
      </c>
      <c r="D307" s="5" t="s">
        <v>2539</v>
      </c>
      <c r="E307" s="5" t="s">
        <v>116</v>
      </c>
      <c r="F307" s="7" t="s">
        <v>2540</v>
      </c>
      <c r="G307" s="7" t="s">
        <v>2541</v>
      </c>
      <c r="H307" s="5" t="s">
        <v>2542</v>
      </c>
      <c r="I307" s="5" t="s">
        <v>2543</v>
      </c>
      <c r="J307" s="5" t="s">
        <v>5</v>
      </c>
      <c r="K307" s="5" t="s">
        <v>32</v>
      </c>
      <c r="L307" s="5" t="s">
        <v>177</v>
      </c>
      <c r="M307" s="5" t="s">
        <v>250</v>
      </c>
    </row>
    <row r="308" ht="22.5" customHeight="1">
      <c r="A308" s="4">
        <v>46064.855049328704</v>
      </c>
      <c r="B308" s="5" t="s">
        <v>2544</v>
      </c>
      <c r="C308" s="6" t="s">
        <v>2545</v>
      </c>
      <c r="D308" s="5" t="s">
        <v>2546</v>
      </c>
      <c r="E308" s="5" t="s">
        <v>47</v>
      </c>
      <c r="F308" s="7" t="s">
        <v>2547</v>
      </c>
      <c r="G308" s="7" t="s">
        <v>2548</v>
      </c>
      <c r="H308" s="8" t="s">
        <v>2549</v>
      </c>
      <c r="I308" s="8" t="s">
        <v>2550</v>
      </c>
      <c r="J308" s="8" t="s">
        <v>2551</v>
      </c>
      <c r="K308" s="5" t="s">
        <v>110</v>
      </c>
      <c r="L308" s="5" t="s">
        <v>2552</v>
      </c>
      <c r="M308" s="8" t="s">
        <v>2553</v>
      </c>
    </row>
    <row r="309" ht="22.5" customHeight="1">
      <c r="A309" s="4">
        <v>46064.85680148148</v>
      </c>
      <c r="B309" s="5" t="s">
        <v>2554</v>
      </c>
      <c r="C309" s="6" t="s">
        <v>2555</v>
      </c>
      <c r="D309" s="5" t="s">
        <v>2556</v>
      </c>
      <c r="E309" s="5" t="s">
        <v>16</v>
      </c>
      <c r="F309" s="7" t="s">
        <v>2557</v>
      </c>
      <c r="G309" s="7" t="s">
        <v>2558</v>
      </c>
      <c r="H309" s="5" t="s">
        <v>2559</v>
      </c>
      <c r="I309" s="5" t="s">
        <v>2560</v>
      </c>
      <c r="J309" s="5" t="s">
        <v>149</v>
      </c>
      <c r="K309" s="5" t="s">
        <v>32</v>
      </c>
      <c r="L309" s="5" t="s">
        <v>449</v>
      </c>
      <c r="M309" s="5" t="s">
        <v>34</v>
      </c>
    </row>
    <row r="310" ht="22.5" customHeight="1">
      <c r="A310" s="4">
        <v>46064.881385625005</v>
      </c>
      <c r="B310" s="5" t="s">
        <v>2561</v>
      </c>
      <c r="C310" s="6" t="s">
        <v>2562</v>
      </c>
      <c r="D310" s="5" t="s">
        <v>2563</v>
      </c>
      <c r="E310" s="5" t="s">
        <v>16</v>
      </c>
      <c r="F310" s="7" t="s">
        <v>2564</v>
      </c>
      <c r="G310" s="7" t="s">
        <v>2565</v>
      </c>
      <c r="H310" s="5" t="s">
        <v>2566</v>
      </c>
      <c r="I310" s="5" t="s">
        <v>2567</v>
      </c>
      <c r="J310" s="5" t="s">
        <v>149</v>
      </c>
      <c r="K310" s="5" t="s">
        <v>110</v>
      </c>
      <c r="L310" s="5" t="s">
        <v>408</v>
      </c>
      <c r="M310" s="5" t="s">
        <v>366</v>
      </c>
    </row>
    <row r="311" ht="22.5" customHeight="1">
      <c r="A311" s="4">
        <v>46064.883707870365</v>
      </c>
      <c r="B311" s="5" t="s">
        <v>2568</v>
      </c>
      <c r="C311" s="6" t="s">
        <v>2569</v>
      </c>
      <c r="D311" s="5" t="s">
        <v>2570</v>
      </c>
      <c r="E311" s="5" t="s">
        <v>47</v>
      </c>
      <c r="F311" s="7" t="s">
        <v>2571</v>
      </c>
      <c r="G311" s="7" t="s">
        <v>2572</v>
      </c>
      <c r="H311" s="5" t="s">
        <v>2573</v>
      </c>
      <c r="I311" s="5" t="s">
        <v>2574</v>
      </c>
      <c r="J311" s="5" t="s">
        <v>581</v>
      </c>
      <c r="K311" s="5" t="s">
        <v>22</v>
      </c>
      <c r="L311" s="5" t="s">
        <v>590</v>
      </c>
      <c r="M311" s="5" t="s">
        <v>43</v>
      </c>
    </row>
    <row r="312" ht="22.5" customHeight="1">
      <c r="A312" s="4">
        <v>46064.884685682875</v>
      </c>
      <c r="B312" s="5" t="s">
        <v>1596</v>
      </c>
      <c r="C312" s="6" t="s">
        <v>940</v>
      </c>
      <c r="D312" s="5" t="s">
        <v>1597</v>
      </c>
      <c r="E312" s="5" t="s">
        <v>47</v>
      </c>
      <c r="F312" s="7" t="s">
        <v>2575</v>
      </c>
      <c r="G312" s="7" t="s">
        <v>2576</v>
      </c>
      <c r="H312" s="5" t="s">
        <v>2577</v>
      </c>
      <c r="I312" s="5" t="s">
        <v>2578</v>
      </c>
      <c r="J312" s="5" t="s">
        <v>149</v>
      </c>
      <c r="K312" s="5" t="s">
        <v>32</v>
      </c>
      <c r="L312" s="5" t="s">
        <v>2579</v>
      </c>
      <c r="M312" s="5" t="s">
        <v>112</v>
      </c>
    </row>
    <row r="313" ht="22.5" customHeight="1">
      <c r="A313" s="4">
        <v>46064.88674627314</v>
      </c>
      <c r="B313" s="5" t="s">
        <v>2580</v>
      </c>
      <c r="C313" s="6" t="s">
        <v>2581</v>
      </c>
      <c r="D313" s="5" t="s">
        <v>2582</v>
      </c>
      <c r="E313" s="5" t="s">
        <v>16</v>
      </c>
      <c r="F313" s="7" t="s">
        <v>2583</v>
      </c>
      <c r="G313" s="7" t="s">
        <v>2584</v>
      </c>
      <c r="H313" s="5" t="s">
        <v>2585</v>
      </c>
      <c r="I313" s="5" t="s">
        <v>2586</v>
      </c>
      <c r="J313" s="5" t="s">
        <v>149</v>
      </c>
      <c r="K313" s="5" t="s">
        <v>110</v>
      </c>
      <c r="L313" s="5" t="s">
        <v>52</v>
      </c>
      <c r="M313" s="5" t="s">
        <v>2025</v>
      </c>
    </row>
    <row r="314" ht="22.5" customHeight="1">
      <c r="A314" s="4">
        <v>46064.89055222222</v>
      </c>
      <c r="B314" s="8" t="s">
        <v>2587</v>
      </c>
      <c r="C314" s="6" t="s">
        <v>2588</v>
      </c>
      <c r="D314" s="5" t="s">
        <v>2589</v>
      </c>
      <c r="E314" s="5" t="s">
        <v>16</v>
      </c>
      <c r="F314" s="7" t="s">
        <v>2590</v>
      </c>
      <c r="G314" s="7" t="s">
        <v>2591</v>
      </c>
      <c r="H314" s="5" t="s">
        <v>2592</v>
      </c>
      <c r="I314" s="5" t="s">
        <v>2593</v>
      </c>
      <c r="J314" s="5" t="s">
        <v>2594</v>
      </c>
      <c r="K314" s="5" t="s">
        <v>110</v>
      </c>
      <c r="L314" s="5" t="s">
        <v>2088</v>
      </c>
      <c r="M314" s="5" t="s">
        <v>417</v>
      </c>
    </row>
    <row r="315" ht="22.5" customHeight="1">
      <c r="A315" s="4">
        <v>46064.908627233795</v>
      </c>
      <c r="B315" s="5" t="s">
        <v>728</v>
      </c>
      <c r="C315" s="6" t="s">
        <v>729</v>
      </c>
      <c r="D315" s="5" t="s">
        <v>730</v>
      </c>
      <c r="E315" s="5" t="s">
        <v>16</v>
      </c>
      <c r="F315" s="5" t="s">
        <v>2595</v>
      </c>
      <c r="G315" s="7" t="s">
        <v>2596</v>
      </c>
      <c r="H315" s="5" t="s">
        <v>2597</v>
      </c>
      <c r="I315" s="5" t="s">
        <v>2598</v>
      </c>
      <c r="J315" s="5" t="s">
        <v>5</v>
      </c>
      <c r="K315" s="5" t="s">
        <v>22</v>
      </c>
      <c r="L315" s="5" t="s">
        <v>2599</v>
      </c>
      <c r="M315" s="5" t="s">
        <v>2600</v>
      </c>
    </row>
    <row r="316" ht="22.5" customHeight="1">
      <c r="A316" s="4">
        <v>46064.919797152776</v>
      </c>
      <c r="B316" s="5" t="s">
        <v>2601</v>
      </c>
      <c r="C316" s="5" t="s">
        <v>2602</v>
      </c>
      <c r="D316" s="5" t="s">
        <v>2603</v>
      </c>
      <c r="E316" s="5" t="s">
        <v>16</v>
      </c>
      <c r="F316" s="7" t="s">
        <v>2604</v>
      </c>
      <c r="G316" s="7" t="s">
        <v>2605</v>
      </c>
      <c r="H316" s="5" t="s">
        <v>2606</v>
      </c>
      <c r="I316" s="5" t="s">
        <v>2607</v>
      </c>
      <c r="J316" s="5" t="s">
        <v>2608</v>
      </c>
      <c r="K316" s="5" t="s">
        <v>32</v>
      </c>
      <c r="L316" s="5" t="s">
        <v>2609</v>
      </c>
      <c r="M316" s="5" t="s">
        <v>2610</v>
      </c>
    </row>
    <row r="317" ht="22.5" customHeight="1">
      <c r="A317" s="4">
        <v>46064.93011253473</v>
      </c>
      <c r="B317" s="5" t="s">
        <v>2611</v>
      </c>
      <c r="C317" s="6" t="s">
        <v>2612</v>
      </c>
      <c r="D317" s="5" t="s">
        <v>2613</v>
      </c>
      <c r="E317" s="5" t="s">
        <v>16</v>
      </c>
      <c r="F317" s="7" t="s">
        <v>2614</v>
      </c>
      <c r="G317" s="7" t="s">
        <v>2615</v>
      </c>
      <c r="H317" s="5" t="s">
        <v>2616</v>
      </c>
      <c r="I317" s="5" t="s">
        <v>2617</v>
      </c>
      <c r="J317" s="5" t="s">
        <v>149</v>
      </c>
      <c r="K317" s="5" t="s">
        <v>32</v>
      </c>
      <c r="L317" s="5" t="s">
        <v>425</v>
      </c>
      <c r="M317" s="5" t="s">
        <v>2618</v>
      </c>
    </row>
    <row r="318" ht="22.5" customHeight="1">
      <c r="A318" s="4">
        <v>46064.93320143518</v>
      </c>
      <c r="B318" s="5" t="s">
        <v>2619</v>
      </c>
      <c r="C318" s="6" t="s">
        <v>2620</v>
      </c>
      <c r="D318" s="5" t="s">
        <v>2621</v>
      </c>
      <c r="E318" s="5" t="s">
        <v>16</v>
      </c>
      <c r="F318" s="7" t="s">
        <v>2622</v>
      </c>
      <c r="G318" s="7" t="s">
        <v>2623</v>
      </c>
      <c r="H318" s="5" t="s">
        <v>2624</v>
      </c>
      <c r="I318" s="8" t="s">
        <v>2625</v>
      </c>
      <c r="J318" s="5" t="s">
        <v>21</v>
      </c>
      <c r="K318" s="5" t="s">
        <v>32</v>
      </c>
      <c r="L318" s="5" t="s">
        <v>141</v>
      </c>
      <c r="M318" s="5" t="s">
        <v>73</v>
      </c>
    </row>
    <row r="319" ht="22.5" customHeight="1">
      <c r="A319" s="4">
        <v>46064.93508523148</v>
      </c>
      <c r="B319" s="5" t="s">
        <v>2626</v>
      </c>
      <c r="C319" s="6" t="s">
        <v>2101</v>
      </c>
      <c r="D319" s="5" t="s">
        <v>2102</v>
      </c>
      <c r="E319" s="5" t="s">
        <v>16</v>
      </c>
      <c r="F319" s="7" t="s">
        <v>2103</v>
      </c>
      <c r="G319" s="7" t="s">
        <v>2627</v>
      </c>
      <c r="H319" s="5" t="s">
        <v>2628</v>
      </c>
      <c r="I319" s="5" t="s">
        <v>2629</v>
      </c>
      <c r="J319" s="5" t="s">
        <v>2630</v>
      </c>
      <c r="K319" s="5" t="s">
        <v>110</v>
      </c>
      <c r="L319" s="5" t="s">
        <v>2108</v>
      </c>
      <c r="M319" s="5" t="s">
        <v>2631</v>
      </c>
    </row>
    <row r="320" ht="22.5" customHeight="1">
      <c r="A320" s="4">
        <v>46064.95059289352</v>
      </c>
      <c r="B320" s="5" t="s">
        <v>2632</v>
      </c>
      <c r="C320" s="6" t="s">
        <v>2633</v>
      </c>
      <c r="D320" s="5" t="s">
        <v>2634</v>
      </c>
      <c r="E320" s="5" t="s">
        <v>47</v>
      </c>
      <c r="F320" s="7" t="s">
        <v>2635</v>
      </c>
      <c r="G320" s="7" t="s">
        <v>2636</v>
      </c>
      <c r="H320" s="5" t="s">
        <v>2637</v>
      </c>
      <c r="I320" s="5" t="s">
        <v>2638</v>
      </c>
      <c r="J320" s="5" t="s">
        <v>2639</v>
      </c>
      <c r="K320" s="5" t="s">
        <v>32</v>
      </c>
      <c r="L320" s="5" t="s">
        <v>123</v>
      </c>
      <c r="M320" s="5" t="s">
        <v>366</v>
      </c>
    </row>
    <row r="321" ht="22.5" customHeight="1">
      <c r="A321" s="4">
        <v>46064.96177516204</v>
      </c>
      <c r="B321" s="8" t="s">
        <v>2640</v>
      </c>
      <c r="C321" s="6" t="s">
        <v>2641</v>
      </c>
      <c r="D321" s="5" t="s">
        <v>2642</v>
      </c>
      <c r="E321" s="5" t="s">
        <v>16</v>
      </c>
      <c r="F321" s="7" t="s">
        <v>2643</v>
      </c>
      <c r="G321" s="7" t="s">
        <v>2644</v>
      </c>
      <c r="H321" s="5" t="s">
        <v>2645</v>
      </c>
      <c r="I321" s="5" t="s">
        <v>2646</v>
      </c>
      <c r="J321" s="5" t="s">
        <v>2647</v>
      </c>
      <c r="K321" s="5" t="s">
        <v>32</v>
      </c>
      <c r="L321" s="5" t="s">
        <v>425</v>
      </c>
      <c r="M321" s="5" t="s">
        <v>2648</v>
      </c>
    </row>
    <row r="322" ht="22.5" customHeight="1">
      <c r="A322" s="4">
        <v>46064.974556319445</v>
      </c>
      <c r="B322" s="5" t="s">
        <v>2649</v>
      </c>
      <c r="C322" s="6" t="s">
        <v>2650</v>
      </c>
      <c r="D322" s="5" t="s">
        <v>2651</v>
      </c>
      <c r="E322" s="5" t="s">
        <v>47</v>
      </c>
      <c r="F322" s="7" t="s">
        <v>2652</v>
      </c>
      <c r="G322" s="7" t="s">
        <v>2653</v>
      </c>
      <c r="H322" s="5" t="s">
        <v>2654</v>
      </c>
      <c r="I322" s="5" t="s">
        <v>2655</v>
      </c>
      <c r="J322" s="5" t="s">
        <v>355</v>
      </c>
      <c r="K322" s="5" t="s">
        <v>110</v>
      </c>
      <c r="L322" s="5" t="s">
        <v>2656</v>
      </c>
      <c r="M322" s="5" t="s">
        <v>73</v>
      </c>
    </row>
    <row r="323" ht="22.5" customHeight="1">
      <c r="A323" s="4">
        <v>46064.982491365736</v>
      </c>
      <c r="B323" s="8" t="s">
        <v>2657</v>
      </c>
      <c r="C323" s="6" t="s">
        <v>2658</v>
      </c>
      <c r="D323" s="5" t="s">
        <v>2659</v>
      </c>
      <c r="E323" s="5" t="s">
        <v>47</v>
      </c>
      <c r="F323" s="7" t="s">
        <v>2660</v>
      </c>
      <c r="G323" s="7" t="s">
        <v>2661</v>
      </c>
      <c r="H323" s="5" t="s">
        <v>2662</v>
      </c>
      <c r="I323" s="5" t="s">
        <v>2663</v>
      </c>
      <c r="J323" s="5" t="s">
        <v>21</v>
      </c>
      <c r="K323" s="5" t="s">
        <v>110</v>
      </c>
      <c r="L323" s="5" t="s">
        <v>2664</v>
      </c>
      <c r="M323" s="5" t="s">
        <v>366</v>
      </c>
    </row>
    <row r="324" ht="22.5" customHeight="1">
      <c r="A324" s="4">
        <v>46065.00197484954</v>
      </c>
      <c r="B324" s="5" t="s">
        <v>2665</v>
      </c>
      <c r="C324" s="5" t="s">
        <v>2666</v>
      </c>
      <c r="D324" s="5" t="s">
        <v>2667</v>
      </c>
      <c r="E324" s="5" t="s">
        <v>47</v>
      </c>
      <c r="F324" s="7" t="s">
        <v>2668</v>
      </c>
      <c r="G324" s="7" t="s">
        <v>2669</v>
      </c>
      <c r="H324" s="5" t="s">
        <v>2670</v>
      </c>
      <c r="I324" s="5" t="s">
        <v>2671</v>
      </c>
      <c r="J324" s="5" t="s">
        <v>2417</v>
      </c>
      <c r="K324" s="5" t="s">
        <v>22</v>
      </c>
      <c r="L324" s="5" t="s">
        <v>123</v>
      </c>
      <c r="M324" s="5" t="s">
        <v>2672</v>
      </c>
    </row>
    <row r="325" ht="22.5" customHeight="1">
      <c r="A325" s="4">
        <v>46065.052657569446</v>
      </c>
      <c r="B325" s="5" t="s">
        <v>2673</v>
      </c>
      <c r="C325" s="6" t="s">
        <v>2674</v>
      </c>
      <c r="D325" s="5" t="s">
        <v>2675</v>
      </c>
      <c r="E325" s="5" t="s">
        <v>47</v>
      </c>
      <c r="F325" s="7" t="s">
        <v>2676</v>
      </c>
      <c r="G325" s="7" t="s">
        <v>2677</v>
      </c>
      <c r="H325" s="5" t="s">
        <v>2678</v>
      </c>
      <c r="I325" s="5" t="s">
        <v>2679</v>
      </c>
      <c r="J325" s="5" t="s">
        <v>581</v>
      </c>
      <c r="K325" s="5" t="s">
        <v>32</v>
      </c>
      <c r="L325" s="5" t="s">
        <v>2680</v>
      </c>
      <c r="M325" s="5" t="s">
        <v>178</v>
      </c>
    </row>
    <row r="326" ht="22.5" customHeight="1">
      <c r="A326" s="4">
        <v>46065.07228353009</v>
      </c>
      <c r="B326" s="5" t="s">
        <v>2681</v>
      </c>
      <c r="C326" s="6" t="s">
        <v>2682</v>
      </c>
      <c r="D326" s="5" t="s">
        <v>2683</v>
      </c>
      <c r="E326" s="5" t="s">
        <v>116</v>
      </c>
      <c r="F326" s="7" t="s">
        <v>2684</v>
      </c>
      <c r="G326" s="7" t="s">
        <v>2685</v>
      </c>
      <c r="H326" s="5" t="s">
        <v>2686</v>
      </c>
      <c r="I326" s="5" t="s">
        <v>2687</v>
      </c>
      <c r="J326" s="5" t="s">
        <v>2688</v>
      </c>
      <c r="K326" s="5" t="s">
        <v>122</v>
      </c>
      <c r="L326" s="5" t="s">
        <v>1797</v>
      </c>
      <c r="M326" s="5" t="s">
        <v>433</v>
      </c>
    </row>
    <row r="327" ht="22.5" customHeight="1">
      <c r="A327" s="4">
        <v>46065.08258633102</v>
      </c>
      <c r="B327" s="5" t="s">
        <v>2689</v>
      </c>
      <c r="C327" s="6" t="s">
        <v>2690</v>
      </c>
      <c r="D327" s="5" t="s">
        <v>2691</v>
      </c>
      <c r="E327" s="5" t="s">
        <v>16</v>
      </c>
      <c r="F327" s="7" t="s">
        <v>2692</v>
      </c>
      <c r="G327" s="7" t="s">
        <v>2693</v>
      </c>
      <c r="H327" s="5" t="s">
        <v>2694</v>
      </c>
      <c r="I327" s="5" t="s">
        <v>2695</v>
      </c>
      <c r="J327" s="5" t="s">
        <v>2696</v>
      </c>
      <c r="K327" s="5" t="s">
        <v>32</v>
      </c>
      <c r="L327" s="5" t="s">
        <v>2697</v>
      </c>
      <c r="M327" s="5" t="s">
        <v>2080</v>
      </c>
    </row>
    <row r="328" ht="22.5" customHeight="1">
      <c r="A328" s="4">
        <v>46065.130582673606</v>
      </c>
      <c r="B328" s="5" t="s">
        <v>2698</v>
      </c>
      <c r="C328" s="6" t="s">
        <v>2699</v>
      </c>
      <c r="D328" s="5" t="s">
        <v>2700</v>
      </c>
      <c r="E328" s="5" t="s">
        <v>16</v>
      </c>
      <c r="F328" s="7" t="s">
        <v>2701</v>
      </c>
      <c r="G328" s="7" t="s">
        <v>2702</v>
      </c>
      <c r="H328" s="5" t="s">
        <v>20</v>
      </c>
      <c r="I328" s="5" t="s">
        <v>2703</v>
      </c>
      <c r="J328" s="5" t="s">
        <v>20</v>
      </c>
      <c r="K328" s="5" t="s">
        <v>32</v>
      </c>
      <c r="L328" s="5" t="s">
        <v>847</v>
      </c>
      <c r="M328" s="5" t="s">
        <v>20</v>
      </c>
    </row>
    <row r="329" ht="22.5" customHeight="1">
      <c r="A329" s="4">
        <v>46065.34389914352</v>
      </c>
      <c r="B329" s="5" t="s">
        <v>2704</v>
      </c>
      <c r="C329" s="6" t="s">
        <v>2705</v>
      </c>
      <c r="D329" s="5" t="s">
        <v>2706</v>
      </c>
      <c r="E329" s="5" t="s">
        <v>47</v>
      </c>
      <c r="F329" s="7" t="s">
        <v>2707</v>
      </c>
      <c r="G329" s="7" t="s">
        <v>2708</v>
      </c>
      <c r="H329" s="5" t="s">
        <v>2709</v>
      </c>
      <c r="I329" s="5" t="s">
        <v>2710</v>
      </c>
      <c r="J329" s="5" t="s">
        <v>499</v>
      </c>
      <c r="K329" s="5" t="s">
        <v>110</v>
      </c>
      <c r="L329" s="5" t="s">
        <v>1797</v>
      </c>
      <c r="M329" s="5" t="s">
        <v>830</v>
      </c>
    </row>
    <row r="330" ht="22.5" customHeight="1">
      <c r="A330" s="4">
        <v>46065.436855798616</v>
      </c>
      <c r="B330" s="5" t="s">
        <v>2711</v>
      </c>
      <c r="C330" s="6" t="s">
        <v>2712</v>
      </c>
      <c r="D330" s="5" t="s">
        <v>2713</v>
      </c>
      <c r="E330" s="5" t="s">
        <v>47</v>
      </c>
      <c r="F330" s="7" t="s">
        <v>2714</v>
      </c>
      <c r="G330" s="7" t="s">
        <v>2715</v>
      </c>
      <c r="H330" s="5" t="s">
        <v>2716</v>
      </c>
      <c r="I330" s="5" t="s">
        <v>2717</v>
      </c>
      <c r="J330" s="5" t="s">
        <v>355</v>
      </c>
      <c r="K330" s="5" t="s">
        <v>110</v>
      </c>
      <c r="L330" s="5" t="s">
        <v>2718</v>
      </c>
      <c r="M330" s="5" t="s">
        <v>73</v>
      </c>
    </row>
    <row r="331" ht="22.5" customHeight="1">
      <c r="A331" s="4">
        <v>46065.49410114583</v>
      </c>
      <c r="B331" s="5" t="s">
        <v>2719</v>
      </c>
      <c r="C331" s="6" t="s">
        <v>2720</v>
      </c>
      <c r="D331" s="5" t="s">
        <v>2721</v>
      </c>
      <c r="E331" s="5" t="s">
        <v>16</v>
      </c>
      <c r="F331" s="7" t="s">
        <v>2722</v>
      </c>
      <c r="G331" s="7" t="s">
        <v>2723</v>
      </c>
      <c r="H331" s="5" t="s">
        <v>2724</v>
      </c>
      <c r="I331" s="5" t="s">
        <v>2725</v>
      </c>
      <c r="J331" s="5" t="s">
        <v>2726</v>
      </c>
      <c r="K331" s="5" t="s">
        <v>122</v>
      </c>
      <c r="L331" s="5" t="s">
        <v>2727</v>
      </c>
      <c r="M331" s="5" t="s">
        <v>652</v>
      </c>
    </row>
    <row r="332" ht="22.5" customHeight="1">
      <c r="A332" s="4">
        <v>46065.53599481481</v>
      </c>
      <c r="B332" s="5" t="s">
        <v>2324</v>
      </c>
      <c r="C332" s="6" t="s">
        <v>2325</v>
      </c>
      <c r="D332" s="5" t="s">
        <v>2326</v>
      </c>
      <c r="E332" s="5" t="s">
        <v>47</v>
      </c>
      <c r="F332" s="7" t="s">
        <v>2327</v>
      </c>
      <c r="G332" s="7" t="s">
        <v>2728</v>
      </c>
      <c r="H332" s="5" t="s">
        <v>2729</v>
      </c>
      <c r="I332" s="5" t="s">
        <v>2730</v>
      </c>
      <c r="J332" s="5" t="s">
        <v>31</v>
      </c>
      <c r="K332" s="5" t="s">
        <v>22</v>
      </c>
      <c r="L332" s="5" t="s">
        <v>141</v>
      </c>
      <c r="M332" s="5" t="s">
        <v>101</v>
      </c>
    </row>
    <row r="333" ht="22.5" customHeight="1">
      <c r="A333" s="4">
        <v>46065.53969071759</v>
      </c>
      <c r="B333" s="5" t="s">
        <v>2731</v>
      </c>
      <c r="C333" s="6" t="s">
        <v>2732</v>
      </c>
      <c r="D333" s="5" t="s">
        <v>2733</v>
      </c>
      <c r="E333" s="5" t="s">
        <v>16</v>
      </c>
      <c r="F333" s="7" t="s">
        <v>2734</v>
      </c>
      <c r="G333" s="7" t="s">
        <v>2735</v>
      </c>
      <c r="H333" s="5" t="s">
        <v>2736</v>
      </c>
      <c r="I333" s="5" t="s">
        <v>2736</v>
      </c>
      <c r="J333" s="5" t="s">
        <v>1883</v>
      </c>
      <c r="K333" s="5" t="s">
        <v>32</v>
      </c>
      <c r="L333" s="5" t="s">
        <v>2737</v>
      </c>
      <c r="M333" s="5" t="s">
        <v>43</v>
      </c>
    </row>
    <row r="334" ht="22.5" customHeight="1">
      <c r="A334" s="4">
        <v>46065.55788231481</v>
      </c>
      <c r="B334" s="5" t="s">
        <v>2738</v>
      </c>
      <c r="C334" s="6" t="s">
        <v>2739</v>
      </c>
      <c r="D334" s="5" t="s">
        <v>2740</v>
      </c>
      <c r="E334" s="5" t="s">
        <v>16</v>
      </c>
      <c r="F334" s="7" t="s">
        <v>2741</v>
      </c>
      <c r="G334" s="7" t="s">
        <v>2742</v>
      </c>
      <c r="H334" s="8" t="s">
        <v>2743</v>
      </c>
      <c r="I334" s="8" t="s">
        <v>2744</v>
      </c>
      <c r="J334" s="5" t="s">
        <v>2745</v>
      </c>
      <c r="K334" s="5" t="s">
        <v>110</v>
      </c>
      <c r="L334" s="5" t="s">
        <v>2746</v>
      </c>
      <c r="M334" s="5" t="s">
        <v>73</v>
      </c>
    </row>
    <row r="335" ht="22.5" customHeight="1">
      <c r="A335" s="4">
        <v>46065.6959100463</v>
      </c>
      <c r="B335" s="5" t="s">
        <v>1455</v>
      </c>
      <c r="C335" s="6" t="s">
        <v>1456</v>
      </c>
      <c r="D335" s="5" t="s">
        <v>1457</v>
      </c>
      <c r="E335" s="5" t="s">
        <v>47</v>
      </c>
      <c r="F335" s="7" t="s">
        <v>1458</v>
      </c>
      <c r="G335" s="7" t="s">
        <v>2747</v>
      </c>
      <c r="H335" s="5" t="s">
        <v>2748</v>
      </c>
      <c r="I335" s="5" t="s">
        <v>2749</v>
      </c>
      <c r="J335" s="5" t="s">
        <v>149</v>
      </c>
      <c r="K335" s="5" t="s">
        <v>32</v>
      </c>
      <c r="L335" s="5" t="s">
        <v>2750</v>
      </c>
      <c r="M335" s="5" t="s">
        <v>73</v>
      </c>
    </row>
    <row r="336" ht="22.5" customHeight="1">
      <c r="A336" s="4">
        <v>46065.71332056713</v>
      </c>
      <c r="B336" s="5" t="s">
        <v>2285</v>
      </c>
      <c r="C336" s="6" t="s">
        <v>2286</v>
      </c>
      <c r="D336" s="5" t="s">
        <v>2751</v>
      </c>
      <c r="E336" s="5" t="s">
        <v>16</v>
      </c>
      <c r="F336" s="7" t="s">
        <v>2288</v>
      </c>
      <c r="G336" s="7" t="s">
        <v>2752</v>
      </c>
      <c r="H336" s="5" t="s">
        <v>2753</v>
      </c>
      <c r="I336" s="5" t="s">
        <v>2754</v>
      </c>
      <c r="J336" s="5" t="s">
        <v>697</v>
      </c>
      <c r="K336" s="5" t="s">
        <v>32</v>
      </c>
      <c r="L336" s="5" t="s">
        <v>123</v>
      </c>
      <c r="M336" s="5" t="s">
        <v>2755</v>
      </c>
    </row>
    <row r="337" ht="22.5" customHeight="1">
      <c r="A337" s="4">
        <v>46065.80109202546</v>
      </c>
      <c r="B337" s="5" t="s">
        <v>2756</v>
      </c>
      <c r="C337" s="6" t="s">
        <v>2757</v>
      </c>
      <c r="D337" s="5" t="s">
        <v>2758</v>
      </c>
      <c r="E337" s="5" t="s">
        <v>116</v>
      </c>
      <c r="F337" s="7" t="s">
        <v>2759</v>
      </c>
      <c r="G337" s="7" t="s">
        <v>2760</v>
      </c>
      <c r="H337" s="5" t="s">
        <v>2761</v>
      </c>
      <c r="I337" s="5" t="s">
        <v>2762</v>
      </c>
      <c r="J337" s="5" t="s">
        <v>2763</v>
      </c>
      <c r="K337" s="5" t="s">
        <v>22</v>
      </c>
      <c r="L337" s="5" t="s">
        <v>123</v>
      </c>
      <c r="M337" s="5" t="s">
        <v>2764</v>
      </c>
    </row>
    <row r="338" ht="22.5" customHeight="1">
      <c r="A338" s="4">
        <v>46065.84397583333</v>
      </c>
      <c r="B338" s="5" t="s">
        <v>2765</v>
      </c>
      <c r="C338" s="6" t="s">
        <v>2766</v>
      </c>
      <c r="D338" s="5" t="s">
        <v>2767</v>
      </c>
      <c r="E338" s="5" t="s">
        <v>16</v>
      </c>
      <c r="F338" s="7" t="s">
        <v>2768</v>
      </c>
      <c r="G338" s="7" t="s">
        <v>2769</v>
      </c>
      <c r="H338" s="5" t="s">
        <v>2770</v>
      </c>
      <c r="I338" s="5" t="s">
        <v>2771</v>
      </c>
      <c r="J338" s="5" t="s">
        <v>2772</v>
      </c>
      <c r="K338" s="5" t="s">
        <v>122</v>
      </c>
      <c r="L338" s="5" t="s">
        <v>141</v>
      </c>
      <c r="M338" s="5" t="s">
        <v>417</v>
      </c>
    </row>
    <row r="339" ht="22.5" customHeight="1">
      <c r="A339" s="4">
        <v>46065.85375386574</v>
      </c>
      <c r="B339" s="5" t="s">
        <v>2773</v>
      </c>
      <c r="C339" s="5" t="s">
        <v>2774</v>
      </c>
      <c r="D339" s="5" t="s">
        <v>2775</v>
      </c>
      <c r="E339" s="5" t="s">
        <v>47</v>
      </c>
      <c r="F339" s="7" t="s">
        <v>2776</v>
      </c>
      <c r="G339" s="7" t="s">
        <v>2777</v>
      </c>
      <c r="H339" s="5" t="s">
        <v>2778</v>
      </c>
      <c r="I339" s="5" t="s">
        <v>2779</v>
      </c>
      <c r="J339" s="5" t="s">
        <v>2780</v>
      </c>
      <c r="K339" s="5" t="s">
        <v>32</v>
      </c>
      <c r="L339" s="5" t="s">
        <v>177</v>
      </c>
      <c r="M339" s="5" t="s">
        <v>43</v>
      </c>
    </row>
    <row r="340" ht="22.5" customHeight="1">
      <c r="A340" s="4">
        <v>46065.95096615741</v>
      </c>
      <c r="B340" s="5" t="s">
        <v>2781</v>
      </c>
      <c r="C340" s="6" t="s">
        <v>2782</v>
      </c>
      <c r="D340" s="5" t="s">
        <v>2783</v>
      </c>
      <c r="E340" s="5" t="s">
        <v>16</v>
      </c>
      <c r="F340" s="7" t="s">
        <v>2784</v>
      </c>
      <c r="G340" s="7" t="s">
        <v>2785</v>
      </c>
      <c r="H340" s="5" t="s">
        <v>2786</v>
      </c>
      <c r="I340" s="5" t="s">
        <v>2787</v>
      </c>
      <c r="J340" s="5" t="s">
        <v>2788</v>
      </c>
      <c r="K340" s="5" t="s">
        <v>22</v>
      </c>
      <c r="L340" s="5" t="s">
        <v>2789</v>
      </c>
      <c r="M340" s="5" t="s">
        <v>2790</v>
      </c>
    </row>
    <row r="341" ht="22.5" customHeight="1">
      <c r="A341" s="4">
        <v>46066.046984479166</v>
      </c>
      <c r="B341" s="5" t="s">
        <v>2791</v>
      </c>
      <c r="C341" s="6" t="s">
        <v>2792</v>
      </c>
      <c r="D341" s="5" t="s">
        <v>2793</v>
      </c>
      <c r="E341" s="5" t="s">
        <v>116</v>
      </c>
      <c r="F341" s="5" t="s">
        <v>2791</v>
      </c>
      <c r="G341" s="7" t="s">
        <v>2794</v>
      </c>
      <c r="H341" s="5" t="s">
        <v>2795</v>
      </c>
      <c r="I341" s="5" t="s">
        <v>2796</v>
      </c>
      <c r="J341" s="5" t="s">
        <v>149</v>
      </c>
      <c r="K341" s="5" t="s">
        <v>32</v>
      </c>
      <c r="L341" s="5" t="s">
        <v>91</v>
      </c>
      <c r="M341" s="5" t="s">
        <v>73</v>
      </c>
    </row>
    <row r="342" ht="22.5" customHeight="1">
      <c r="A342" s="4">
        <v>46066.052412951394</v>
      </c>
      <c r="B342" s="8" t="s">
        <v>2797</v>
      </c>
      <c r="C342" s="6" t="s">
        <v>2798</v>
      </c>
      <c r="D342" s="5" t="s">
        <v>2799</v>
      </c>
      <c r="E342" s="5" t="s">
        <v>47</v>
      </c>
      <c r="F342" s="7" t="s">
        <v>2800</v>
      </c>
      <c r="G342" s="7" t="s">
        <v>2801</v>
      </c>
      <c r="H342" s="5" t="s">
        <v>2802</v>
      </c>
      <c r="I342" s="5" t="s">
        <v>2803</v>
      </c>
      <c r="J342" s="5" t="s">
        <v>2696</v>
      </c>
      <c r="K342" s="5" t="s">
        <v>22</v>
      </c>
      <c r="L342" s="5" t="s">
        <v>141</v>
      </c>
      <c r="M342" s="5" t="s">
        <v>2025</v>
      </c>
    </row>
    <row r="343" ht="22.5" customHeight="1">
      <c r="A343" s="4">
        <v>46066.06030423611</v>
      </c>
      <c r="B343" s="5" t="s">
        <v>2804</v>
      </c>
      <c r="C343" s="6" t="s">
        <v>2805</v>
      </c>
      <c r="D343" s="5" t="s">
        <v>2806</v>
      </c>
      <c r="E343" s="5" t="s">
        <v>116</v>
      </c>
      <c r="F343" s="7" t="s">
        <v>2807</v>
      </c>
      <c r="G343" s="7" t="s">
        <v>2808</v>
      </c>
      <c r="H343" s="5" t="s">
        <v>2809</v>
      </c>
      <c r="I343" s="5" t="s">
        <v>2810</v>
      </c>
      <c r="J343" s="5" t="s">
        <v>2688</v>
      </c>
      <c r="K343" s="5" t="s">
        <v>110</v>
      </c>
      <c r="L343" s="5" t="s">
        <v>2811</v>
      </c>
      <c r="M343" s="5" t="s">
        <v>43</v>
      </c>
    </row>
    <row r="344" ht="22.5" customHeight="1">
      <c r="A344" s="4">
        <v>46066.0883858912</v>
      </c>
      <c r="B344" s="5" t="s">
        <v>1309</v>
      </c>
      <c r="C344" s="6" t="s">
        <v>1301</v>
      </c>
      <c r="D344" s="5" t="s">
        <v>1310</v>
      </c>
      <c r="E344" s="5" t="s">
        <v>116</v>
      </c>
      <c r="F344" s="7" t="s">
        <v>1303</v>
      </c>
      <c r="G344" s="7" t="s">
        <v>2812</v>
      </c>
      <c r="H344" s="5" t="s">
        <v>2813</v>
      </c>
      <c r="I344" s="5" t="s">
        <v>2814</v>
      </c>
      <c r="J344" s="5" t="s">
        <v>2815</v>
      </c>
      <c r="K344" s="5" t="s">
        <v>22</v>
      </c>
      <c r="L344" s="5" t="s">
        <v>2816</v>
      </c>
      <c r="M344" s="5" t="s">
        <v>417</v>
      </c>
    </row>
    <row r="345" ht="22.5" customHeight="1">
      <c r="A345" s="4">
        <v>46066.36136401621</v>
      </c>
      <c r="B345" s="5" t="s">
        <v>2817</v>
      </c>
      <c r="C345" s="6" t="s">
        <v>2818</v>
      </c>
      <c r="D345" s="5" t="s">
        <v>2819</v>
      </c>
      <c r="E345" s="5" t="s">
        <v>16</v>
      </c>
      <c r="F345" s="7" t="s">
        <v>2820</v>
      </c>
      <c r="G345" s="7" t="s">
        <v>2821</v>
      </c>
      <c r="H345" s="5" t="s">
        <v>2822</v>
      </c>
      <c r="I345" s="5" t="s">
        <v>417</v>
      </c>
      <c r="J345" s="5" t="s">
        <v>149</v>
      </c>
      <c r="K345" s="5" t="s">
        <v>32</v>
      </c>
      <c r="L345" s="5" t="s">
        <v>141</v>
      </c>
      <c r="M345" s="5" t="s">
        <v>417</v>
      </c>
    </row>
    <row r="346" ht="22.5" customHeight="1">
      <c r="A346" s="4">
        <v>46066.69857001158</v>
      </c>
      <c r="B346" s="5" t="s">
        <v>2823</v>
      </c>
      <c r="C346" s="6" t="s">
        <v>2824</v>
      </c>
      <c r="D346" s="5" t="s">
        <v>2825</v>
      </c>
      <c r="E346" s="5" t="s">
        <v>116</v>
      </c>
      <c r="F346" s="7" t="s">
        <v>2826</v>
      </c>
      <c r="G346" s="7" t="s">
        <v>2827</v>
      </c>
      <c r="H346" s="5" t="s">
        <v>2828</v>
      </c>
      <c r="I346" s="5" t="s">
        <v>2829</v>
      </c>
      <c r="J346" s="5" t="s">
        <v>2830</v>
      </c>
      <c r="K346" s="5" t="s">
        <v>122</v>
      </c>
      <c r="L346" s="5" t="s">
        <v>141</v>
      </c>
      <c r="M346" s="5" t="s">
        <v>2831</v>
      </c>
    </row>
    <row r="347" ht="22.5" customHeight="1">
      <c r="A347" s="4">
        <v>46066.74030671296</v>
      </c>
      <c r="B347" s="5" t="s">
        <v>2832</v>
      </c>
      <c r="C347" s="6" t="s">
        <v>2833</v>
      </c>
      <c r="D347" s="5" t="s">
        <v>2834</v>
      </c>
      <c r="E347" s="5" t="s">
        <v>16</v>
      </c>
      <c r="F347" s="7" t="s">
        <v>2835</v>
      </c>
      <c r="G347" s="7" t="s">
        <v>2836</v>
      </c>
      <c r="H347" s="5" t="s">
        <v>2837</v>
      </c>
      <c r="I347" s="5" t="s">
        <v>2838</v>
      </c>
      <c r="J347" s="5" t="s">
        <v>355</v>
      </c>
      <c r="K347" s="5" t="s">
        <v>22</v>
      </c>
      <c r="L347" s="5" t="s">
        <v>449</v>
      </c>
      <c r="M347" s="5" t="s">
        <v>73</v>
      </c>
    </row>
    <row r="348" ht="22.5" customHeight="1">
      <c r="A348" s="4">
        <v>46066.75596101852</v>
      </c>
      <c r="B348" s="5" t="s">
        <v>2839</v>
      </c>
      <c r="C348" s="6" t="s">
        <v>2840</v>
      </c>
      <c r="D348" s="5" t="s">
        <v>2841</v>
      </c>
      <c r="E348" s="5" t="s">
        <v>116</v>
      </c>
      <c r="F348" s="7" t="s">
        <v>528</v>
      </c>
      <c r="G348" s="7" t="s">
        <v>2842</v>
      </c>
      <c r="H348" s="5" t="s">
        <v>2843</v>
      </c>
      <c r="I348" s="5" t="s">
        <v>2844</v>
      </c>
      <c r="J348" s="5" t="s">
        <v>581</v>
      </c>
      <c r="K348" s="5" t="s">
        <v>32</v>
      </c>
      <c r="L348" s="5" t="s">
        <v>2599</v>
      </c>
      <c r="M348" s="5" t="s">
        <v>2845</v>
      </c>
    </row>
    <row r="349" ht="22.5" customHeight="1">
      <c r="A349" s="4">
        <v>46066.77412311343</v>
      </c>
      <c r="B349" s="5" t="s">
        <v>2846</v>
      </c>
      <c r="C349" s="6" t="s">
        <v>2847</v>
      </c>
      <c r="D349" s="5" t="s">
        <v>2848</v>
      </c>
      <c r="E349" s="5" t="s">
        <v>116</v>
      </c>
      <c r="F349" s="7" t="s">
        <v>2849</v>
      </c>
      <c r="G349" s="7" t="s">
        <v>2850</v>
      </c>
      <c r="H349" s="5" t="s">
        <v>2851</v>
      </c>
      <c r="I349" s="5" t="s">
        <v>2852</v>
      </c>
      <c r="J349" s="5" t="s">
        <v>2853</v>
      </c>
      <c r="K349" s="5" t="s">
        <v>32</v>
      </c>
      <c r="L349" s="5" t="s">
        <v>141</v>
      </c>
      <c r="M349" s="5" t="s">
        <v>34</v>
      </c>
    </row>
    <row r="350" ht="22.5" customHeight="1">
      <c r="A350" s="4">
        <v>46066.814112418986</v>
      </c>
      <c r="B350" s="5" t="s">
        <v>2854</v>
      </c>
      <c r="C350" s="6" t="s">
        <v>2650</v>
      </c>
      <c r="D350" s="5" t="s">
        <v>2651</v>
      </c>
      <c r="E350" s="5" t="s">
        <v>47</v>
      </c>
      <c r="F350" s="7" t="s">
        <v>2855</v>
      </c>
      <c r="G350" s="7" t="s">
        <v>2856</v>
      </c>
      <c r="H350" s="5" t="s">
        <v>2654</v>
      </c>
      <c r="I350" s="5" t="s">
        <v>2857</v>
      </c>
      <c r="J350" s="5" t="s">
        <v>248</v>
      </c>
      <c r="K350" s="5" t="s">
        <v>22</v>
      </c>
      <c r="L350" s="5" t="s">
        <v>2656</v>
      </c>
      <c r="M350" s="5" t="s">
        <v>2858</v>
      </c>
    </row>
    <row r="351" ht="22.5" customHeight="1">
      <c r="A351" s="4">
        <v>46066.81978262731</v>
      </c>
      <c r="B351" s="5" t="s">
        <v>2859</v>
      </c>
      <c r="C351" s="5" t="s">
        <v>2860</v>
      </c>
      <c r="D351" s="5" t="s">
        <v>2861</v>
      </c>
      <c r="E351" s="5" t="s">
        <v>47</v>
      </c>
      <c r="F351" s="7" t="s">
        <v>2862</v>
      </c>
      <c r="G351" s="7" t="s">
        <v>2863</v>
      </c>
      <c r="H351" s="5" t="s">
        <v>2864</v>
      </c>
      <c r="I351" s="5" t="s">
        <v>2865</v>
      </c>
      <c r="J351" s="5" t="s">
        <v>581</v>
      </c>
      <c r="K351" s="5" t="s">
        <v>32</v>
      </c>
      <c r="L351" s="5" t="s">
        <v>91</v>
      </c>
      <c r="M351" s="5" t="s">
        <v>160</v>
      </c>
    </row>
    <row r="352" ht="22.5" customHeight="1">
      <c r="A352" s="4">
        <v>46066.89771440972</v>
      </c>
      <c r="B352" s="5" t="s">
        <v>2866</v>
      </c>
      <c r="C352" s="6" t="s">
        <v>2867</v>
      </c>
      <c r="D352" s="5" t="s">
        <v>2868</v>
      </c>
      <c r="E352" s="5" t="s">
        <v>16</v>
      </c>
      <c r="F352" s="7" t="s">
        <v>2869</v>
      </c>
      <c r="G352" s="7" t="s">
        <v>2870</v>
      </c>
      <c r="H352" s="5" t="s">
        <v>2871</v>
      </c>
      <c r="I352" s="5" t="s">
        <v>2872</v>
      </c>
      <c r="J352" s="5" t="s">
        <v>355</v>
      </c>
      <c r="K352" s="5" t="s">
        <v>122</v>
      </c>
      <c r="L352" s="5" t="s">
        <v>2873</v>
      </c>
      <c r="M352" s="5" t="s">
        <v>2874</v>
      </c>
    </row>
    <row r="353" ht="22.5" customHeight="1">
      <c r="A353" s="4">
        <v>46066.922101122684</v>
      </c>
      <c r="B353" s="5" t="s">
        <v>2875</v>
      </c>
      <c r="C353" s="6" t="s">
        <v>2876</v>
      </c>
      <c r="D353" s="5" t="s">
        <v>2877</v>
      </c>
      <c r="E353" s="5" t="s">
        <v>116</v>
      </c>
      <c r="F353" s="7" t="s">
        <v>2878</v>
      </c>
      <c r="G353" s="7" t="s">
        <v>2879</v>
      </c>
      <c r="H353" s="5" t="s">
        <v>2880</v>
      </c>
      <c r="I353" s="5" t="s">
        <v>2881</v>
      </c>
      <c r="J353" s="5" t="s">
        <v>149</v>
      </c>
      <c r="K353" s="5" t="s">
        <v>22</v>
      </c>
      <c r="L353" s="5" t="s">
        <v>123</v>
      </c>
      <c r="M353" s="5" t="s">
        <v>1177</v>
      </c>
    </row>
    <row r="354" ht="22.5" customHeight="1">
      <c r="A354" s="4">
        <v>46067.520363206015</v>
      </c>
      <c r="B354" s="5" t="s">
        <v>2882</v>
      </c>
      <c r="C354" s="6" t="s">
        <v>2883</v>
      </c>
      <c r="D354" s="5" t="s">
        <v>2884</v>
      </c>
      <c r="E354" s="5" t="s">
        <v>47</v>
      </c>
      <c r="F354" s="7" t="s">
        <v>2885</v>
      </c>
      <c r="G354" s="7" t="s">
        <v>2886</v>
      </c>
      <c r="H354" s="5" t="s">
        <v>2887</v>
      </c>
      <c r="I354" s="5" t="s">
        <v>2888</v>
      </c>
      <c r="J354" s="5" t="s">
        <v>248</v>
      </c>
      <c r="K354" s="5" t="s">
        <v>22</v>
      </c>
      <c r="L354" s="5" t="s">
        <v>187</v>
      </c>
      <c r="M354" s="5" t="s">
        <v>2117</v>
      </c>
    </row>
    <row r="355" ht="22.5" customHeight="1">
      <c r="A355" s="4">
        <v>46067.69304280092</v>
      </c>
      <c r="B355" s="5" t="s">
        <v>2889</v>
      </c>
      <c r="C355" s="6" t="s">
        <v>2890</v>
      </c>
      <c r="D355" s="5" t="s">
        <v>2891</v>
      </c>
      <c r="E355" s="5" t="s">
        <v>47</v>
      </c>
      <c r="F355" s="7" t="s">
        <v>2892</v>
      </c>
      <c r="G355" s="7" t="s">
        <v>2893</v>
      </c>
      <c r="H355" s="5" t="s">
        <v>2894</v>
      </c>
      <c r="I355" s="5" t="s">
        <v>2895</v>
      </c>
      <c r="J355" s="5" t="s">
        <v>149</v>
      </c>
      <c r="K355" s="5" t="s">
        <v>110</v>
      </c>
      <c r="L355" s="5" t="s">
        <v>449</v>
      </c>
      <c r="M355" s="5" t="s">
        <v>73</v>
      </c>
    </row>
    <row r="356" ht="22.5" customHeight="1">
      <c r="A356" s="4">
        <v>46067.81368532407</v>
      </c>
      <c r="B356" s="5" t="s">
        <v>2896</v>
      </c>
      <c r="C356" s="6" t="s">
        <v>2897</v>
      </c>
      <c r="D356" s="5" t="s">
        <v>2898</v>
      </c>
      <c r="E356" s="5" t="s">
        <v>16</v>
      </c>
      <c r="F356" s="7" t="s">
        <v>2899</v>
      </c>
      <c r="G356" s="7" t="s">
        <v>2900</v>
      </c>
      <c r="H356" s="5" t="s">
        <v>2901</v>
      </c>
      <c r="I356" s="5" t="s">
        <v>2902</v>
      </c>
      <c r="J356" s="5" t="s">
        <v>1883</v>
      </c>
      <c r="K356" s="5" t="s">
        <v>32</v>
      </c>
      <c r="L356" s="5" t="s">
        <v>123</v>
      </c>
      <c r="M356" s="5" t="s">
        <v>43</v>
      </c>
    </row>
    <row r="357" ht="22.5" customHeight="1">
      <c r="A357" s="4">
        <v>46067.82366199074</v>
      </c>
      <c r="B357" s="5" t="s">
        <v>83</v>
      </c>
      <c r="C357" s="6" t="s">
        <v>84</v>
      </c>
      <c r="D357" s="5" t="s">
        <v>85</v>
      </c>
      <c r="E357" s="5" t="s">
        <v>47</v>
      </c>
      <c r="F357" s="7" t="s">
        <v>86</v>
      </c>
      <c r="G357" s="7" t="s">
        <v>2903</v>
      </c>
      <c r="H357" s="5" t="s">
        <v>2904</v>
      </c>
      <c r="I357" s="5" t="s">
        <v>2905</v>
      </c>
      <c r="J357" s="5" t="s">
        <v>2906</v>
      </c>
      <c r="K357" s="5" t="s">
        <v>32</v>
      </c>
      <c r="L357" s="5" t="s">
        <v>123</v>
      </c>
      <c r="M357" s="5" t="s">
        <v>2907</v>
      </c>
    </row>
    <row r="358" ht="22.5" customHeight="1">
      <c r="A358" s="4">
        <v>46067.881995104166</v>
      </c>
      <c r="B358" s="5" t="s">
        <v>2908</v>
      </c>
      <c r="C358" s="6" t="s">
        <v>2909</v>
      </c>
      <c r="D358" s="5" t="s">
        <v>2910</v>
      </c>
      <c r="E358" s="5" t="s">
        <v>16</v>
      </c>
      <c r="F358" s="7" t="s">
        <v>2911</v>
      </c>
      <c r="G358" s="7" t="s">
        <v>2912</v>
      </c>
      <c r="H358" s="5" t="s">
        <v>2913</v>
      </c>
      <c r="I358" s="5" t="s">
        <v>2914</v>
      </c>
      <c r="J358" s="5" t="s">
        <v>5</v>
      </c>
      <c r="K358" s="5" t="s">
        <v>32</v>
      </c>
      <c r="L358" s="5" t="s">
        <v>52</v>
      </c>
      <c r="M358" s="5" t="s">
        <v>43</v>
      </c>
    </row>
    <row r="359" ht="22.5" customHeight="1">
      <c r="A359" s="4">
        <v>46067.93405414352</v>
      </c>
      <c r="B359" s="5" t="s">
        <v>2915</v>
      </c>
      <c r="C359" s="6" t="s">
        <v>2916</v>
      </c>
      <c r="D359" s="5" t="s">
        <v>2917</v>
      </c>
      <c r="E359" s="5" t="s">
        <v>47</v>
      </c>
      <c r="F359" s="7" t="s">
        <v>2918</v>
      </c>
      <c r="G359" s="7" t="s">
        <v>2919</v>
      </c>
      <c r="H359" s="5" t="s">
        <v>2920</v>
      </c>
      <c r="I359" s="5" t="s">
        <v>2921</v>
      </c>
      <c r="J359" s="5" t="s">
        <v>149</v>
      </c>
      <c r="K359" s="5" t="s">
        <v>32</v>
      </c>
      <c r="L359" s="5" t="s">
        <v>425</v>
      </c>
      <c r="M359" s="5" t="s">
        <v>366</v>
      </c>
    </row>
    <row r="360" ht="22.5" customHeight="1">
      <c r="A360" s="4">
        <v>46068.313887488424</v>
      </c>
      <c r="B360" s="5" t="s">
        <v>2922</v>
      </c>
      <c r="C360" s="6" t="s">
        <v>2923</v>
      </c>
      <c r="D360" s="5" t="s">
        <v>2924</v>
      </c>
      <c r="E360" s="5" t="s">
        <v>16</v>
      </c>
      <c r="F360" s="7" t="s">
        <v>2925</v>
      </c>
      <c r="G360" s="7" t="s">
        <v>2926</v>
      </c>
      <c r="H360" s="5" t="s">
        <v>2927</v>
      </c>
      <c r="I360" s="5" t="s">
        <v>2928</v>
      </c>
      <c r="J360" s="5" t="s">
        <v>149</v>
      </c>
      <c r="K360" s="5" t="s">
        <v>22</v>
      </c>
      <c r="L360" s="5" t="s">
        <v>123</v>
      </c>
      <c r="M360" s="5" t="s">
        <v>2929</v>
      </c>
    </row>
    <row r="361" ht="22.5" customHeight="1">
      <c r="A361" s="4">
        <v>46068.38583945602</v>
      </c>
      <c r="B361" s="5" t="s">
        <v>2930</v>
      </c>
      <c r="C361" s="6" t="s">
        <v>2931</v>
      </c>
      <c r="D361" s="5" t="s">
        <v>2932</v>
      </c>
      <c r="E361" s="5" t="s">
        <v>47</v>
      </c>
      <c r="F361" s="7" t="s">
        <v>2933</v>
      </c>
      <c r="G361" s="7" t="s">
        <v>2934</v>
      </c>
      <c r="H361" s="5" t="s">
        <v>2935</v>
      </c>
      <c r="I361" s="5" t="s">
        <v>2936</v>
      </c>
      <c r="J361" s="5" t="s">
        <v>149</v>
      </c>
      <c r="K361" s="5" t="s">
        <v>32</v>
      </c>
      <c r="L361" s="5" t="s">
        <v>2156</v>
      </c>
      <c r="M361" s="5" t="s">
        <v>2937</v>
      </c>
    </row>
    <row r="362" ht="22.5" customHeight="1">
      <c r="A362" s="4">
        <v>46068.63912917824</v>
      </c>
      <c r="B362" s="5" t="s">
        <v>2938</v>
      </c>
      <c r="C362" s="6" t="s">
        <v>2939</v>
      </c>
      <c r="D362" s="5" t="s">
        <v>2940</v>
      </c>
      <c r="E362" s="5" t="s">
        <v>47</v>
      </c>
      <c r="F362" s="7" t="s">
        <v>2941</v>
      </c>
      <c r="G362" s="7" t="s">
        <v>2942</v>
      </c>
      <c r="H362" s="5" t="s">
        <v>2943</v>
      </c>
      <c r="I362" s="5" t="s">
        <v>2944</v>
      </c>
      <c r="J362" s="5" t="s">
        <v>2945</v>
      </c>
      <c r="K362" s="5" t="s">
        <v>32</v>
      </c>
      <c r="L362" s="5" t="s">
        <v>736</v>
      </c>
      <c r="M362" s="5" t="s">
        <v>2946</v>
      </c>
    </row>
    <row r="363" ht="22.5" customHeight="1">
      <c r="A363" s="4">
        <v>46068.68947265046</v>
      </c>
      <c r="B363" s="5" t="s">
        <v>2947</v>
      </c>
      <c r="C363" s="6" t="s">
        <v>2948</v>
      </c>
      <c r="D363" s="5" t="s">
        <v>2949</v>
      </c>
      <c r="E363" s="5" t="s">
        <v>47</v>
      </c>
      <c r="F363" s="7" t="s">
        <v>2950</v>
      </c>
      <c r="G363" s="7" t="s">
        <v>2951</v>
      </c>
      <c r="H363" s="5" t="s">
        <v>2952</v>
      </c>
      <c r="I363" s="5" t="s">
        <v>2953</v>
      </c>
      <c r="J363" s="5" t="s">
        <v>2954</v>
      </c>
      <c r="K363" s="5" t="s">
        <v>32</v>
      </c>
      <c r="L363" s="5" t="s">
        <v>123</v>
      </c>
      <c r="M363" s="5" t="s">
        <v>2955</v>
      </c>
    </row>
    <row r="364" ht="22.5" customHeight="1">
      <c r="A364" s="4">
        <v>46068.698677106484</v>
      </c>
      <c r="B364" s="5" t="s">
        <v>2956</v>
      </c>
      <c r="C364" s="6" t="s">
        <v>2957</v>
      </c>
      <c r="D364" s="5" t="s">
        <v>2958</v>
      </c>
      <c r="E364" s="5" t="s">
        <v>16</v>
      </c>
      <c r="F364" s="7" t="s">
        <v>2959</v>
      </c>
      <c r="G364" s="7" t="s">
        <v>2960</v>
      </c>
      <c r="H364" s="5" t="s">
        <v>2961</v>
      </c>
      <c r="I364" s="5" t="s">
        <v>2962</v>
      </c>
      <c r="J364" s="5" t="s">
        <v>248</v>
      </c>
      <c r="K364" s="5" t="s">
        <v>32</v>
      </c>
      <c r="L364" s="5" t="s">
        <v>177</v>
      </c>
      <c r="M364" s="5" t="s">
        <v>2963</v>
      </c>
    </row>
    <row r="365" ht="22.5" customHeight="1">
      <c r="A365" s="4">
        <v>46068.71482375</v>
      </c>
      <c r="B365" s="5" t="s">
        <v>2964</v>
      </c>
      <c r="C365" s="6" t="s">
        <v>2965</v>
      </c>
      <c r="D365" s="5" t="s">
        <v>2966</v>
      </c>
      <c r="E365" s="5" t="s">
        <v>16</v>
      </c>
      <c r="F365" s="7" t="s">
        <v>2967</v>
      </c>
      <c r="G365" s="7" t="s">
        <v>2968</v>
      </c>
      <c r="H365" s="5" t="s">
        <v>2969</v>
      </c>
      <c r="I365" s="5" t="s">
        <v>2970</v>
      </c>
      <c r="J365" s="5" t="s">
        <v>2971</v>
      </c>
      <c r="K365" s="5" t="s">
        <v>32</v>
      </c>
      <c r="L365" s="5" t="s">
        <v>123</v>
      </c>
      <c r="M365" s="5" t="s">
        <v>2972</v>
      </c>
    </row>
    <row r="366" ht="22.5" customHeight="1">
      <c r="A366" s="4">
        <v>46068.97542747685</v>
      </c>
      <c r="B366" s="5" t="s">
        <v>2973</v>
      </c>
      <c r="C366" s="6" t="s">
        <v>2974</v>
      </c>
      <c r="D366" s="5" t="s">
        <v>2975</v>
      </c>
      <c r="E366" s="5" t="s">
        <v>116</v>
      </c>
      <c r="F366" s="7" t="s">
        <v>2976</v>
      </c>
      <c r="G366" s="7" t="s">
        <v>2977</v>
      </c>
      <c r="H366" s="5" t="s">
        <v>2978</v>
      </c>
      <c r="I366" s="5" t="s">
        <v>2979</v>
      </c>
      <c r="J366" s="5" t="s">
        <v>248</v>
      </c>
      <c r="K366" s="5" t="s">
        <v>22</v>
      </c>
      <c r="L366" s="5" t="s">
        <v>123</v>
      </c>
      <c r="M366" s="5" t="s">
        <v>2980</v>
      </c>
    </row>
    <row r="367" ht="22.5" customHeight="1">
      <c r="A367" s="4">
        <v>46069.66524162037</v>
      </c>
      <c r="B367" s="5" t="s">
        <v>2981</v>
      </c>
      <c r="C367" s="6" t="s">
        <v>2982</v>
      </c>
      <c r="D367" s="5" t="s">
        <v>2983</v>
      </c>
      <c r="E367" s="5" t="s">
        <v>47</v>
      </c>
      <c r="F367" s="7" t="s">
        <v>2984</v>
      </c>
      <c r="G367" s="7" t="s">
        <v>2985</v>
      </c>
      <c r="H367" s="5" t="s">
        <v>2986</v>
      </c>
      <c r="I367" s="5" t="s">
        <v>2987</v>
      </c>
      <c r="J367" s="5" t="s">
        <v>5</v>
      </c>
      <c r="K367" s="5" t="s">
        <v>22</v>
      </c>
      <c r="L367" s="5" t="s">
        <v>425</v>
      </c>
      <c r="M367" s="5" t="s">
        <v>2988</v>
      </c>
    </row>
    <row r="368" ht="22.5" customHeight="1">
      <c r="A368" s="4">
        <v>46069.75470965278</v>
      </c>
      <c r="B368" s="5" t="s">
        <v>285</v>
      </c>
      <c r="C368" s="6" t="s">
        <v>286</v>
      </c>
      <c r="D368" s="5" t="s">
        <v>287</v>
      </c>
      <c r="E368" s="5" t="s">
        <v>16</v>
      </c>
      <c r="F368" s="7" t="s">
        <v>2989</v>
      </c>
      <c r="G368" s="7" t="s">
        <v>2990</v>
      </c>
      <c r="H368" s="5" t="s">
        <v>2991</v>
      </c>
      <c r="I368" s="5" t="s">
        <v>2992</v>
      </c>
      <c r="J368" s="5" t="s">
        <v>5</v>
      </c>
      <c r="K368" s="5" t="s">
        <v>32</v>
      </c>
      <c r="L368" s="5" t="s">
        <v>141</v>
      </c>
      <c r="M368" s="5" t="s">
        <v>292</v>
      </c>
    </row>
    <row r="369" ht="22.5" customHeight="1">
      <c r="A369" s="4">
        <v>46069.83712645833</v>
      </c>
      <c r="B369" s="5" t="s">
        <v>2993</v>
      </c>
      <c r="C369" s="6" t="s">
        <v>2994</v>
      </c>
      <c r="D369" s="5" t="s">
        <v>2995</v>
      </c>
      <c r="E369" s="5" t="s">
        <v>47</v>
      </c>
      <c r="F369" s="7" t="s">
        <v>2996</v>
      </c>
      <c r="G369" s="7" t="s">
        <v>2997</v>
      </c>
      <c r="H369" s="5" t="s">
        <v>2998</v>
      </c>
      <c r="I369" s="5" t="s">
        <v>2999</v>
      </c>
      <c r="J369" s="5" t="s">
        <v>3000</v>
      </c>
      <c r="K369" s="5" t="s">
        <v>32</v>
      </c>
      <c r="L369" s="5" t="s">
        <v>123</v>
      </c>
      <c r="M369" s="5" t="s">
        <v>3001</v>
      </c>
    </row>
    <row r="370" ht="22.5" customHeight="1">
      <c r="A370" s="4">
        <v>46069.93019277778</v>
      </c>
      <c r="B370" s="5" t="s">
        <v>3002</v>
      </c>
      <c r="C370" s="6" t="s">
        <v>3003</v>
      </c>
      <c r="D370" s="5" t="s">
        <v>3004</v>
      </c>
      <c r="E370" s="5" t="s">
        <v>47</v>
      </c>
      <c r="F370" s="7" t="s">
        <v>3005</v>
      </c>
      <c r="G370" s="7" t="s">
        <v>3006</v>
      </c>
      <c r="H370" s="5" t="s">
        <v>3007</v>
      </c>
      <c r="I370" s="5" t="s">
        <v>3008</v>
      </c>
      <c r="J370" s="5" t="s">
        <v>3009</v>
      </c>
      <c r="K370" s="5" t="s">
        <v>22</v>
      </c>
      <c r="L370" s="5" t="s">
        <v>3010</v>
      </c>
      <c r="M370" s="5" t="s">
        <v>3011</v>
      </c>
    </row>
    <row r="371" ht="22.5" customHeight="1">
      <c r="A371" s="4">
        <v>46070.00036023148</v>
      </c>
      <c r="B371" s="5" t="s">
        <v>3012</v>
      </c>
      <c r="C371" s="6" t="s">
        <v>3013</v>
      </c>
      <c r="D371" s="5" t="s">
        <v>3014</v>
      </c>
      <c r="E371" s="5" t="s">
        <v>116</v>
      </c>
      <c r="F371" s="7" t="s">
        <v>3015</v>
      </c>
      <c r="G371" s="7" t="s">
        <v>3016</v>
      </c>
      <c r="H371" s="5" t="s">
        <v>3017</v>
      </c>
      <c r="I371" s="5" t="s">
        <v>3018</v>
      </c>
      <c r="J371" s="5" t="s">
        <v>3019</v>
      </c>
      <c r="K371" s="5" t="s">
        <v>22</v>
      </c>
      <c r="L371" s="5" t="s">
        <v>187</v>
      </c>
      <c r="M371" s="5" t="s">
        <v>73</v>
      </c>
    </row>
    <row r="372" ht="22.5" customHeight="1">
      <c r="A372" s="4">
        <v>46070.098034305556</v>
      </c>
      <c r="B372" s="5" t="s">
        <v>83</v>
      </c>
      <c r="C372" s="6" t="s">
        <v>84</v>
      </c>
      <c r="D372" s="5" t="s">
        <v>85</v>
      </c>
      <c r="E372" s="5" t="s">
        <v>47</v>
      </c>
      <c r="F372" s="7" t="s">
        <v>86</v>
      </c>
      <c r="G372" s="7" t="s">
        <v>3020</v>
      </c>
      <c r="H372" s="5" t="s">
        <v>2904</v>
      </c>
      <c r="I372" s="5" t="s">
        <v>3021</v>
      </c>
      <c r="J372" s="5" t="s">
        <v>2906</v>
      </c>
      <c r="K372" s="5" t="s">
        <v>32</v>
      </c>
      <c r="L372" s="5" t="s">
        <v>123</v>
      </c>
      <c r="M372" s="5" t="s">
        <v>3022</v>
      </c>
    </row>
    <row r="373" ht="22.5" customHeight="1">
      <c r="A373" s="4">
        <v>46070.970543668984</v>
      </c>
      <c r="B373" s="5" t="s">
        <v>3023</v>
      </c>
      <c r="C373" s="6" t="s">
        <v>3024</v>
      </c>
      <c r="D373" s="5" t="s">
        <v>3025</v>
      </c>
      <c r="E373" s="5" t="s">
        <v>16</v>
      </c>
      <c r="F373" s="7" t="s">
        <v>3026</v>
      </c>
      <c r="G373" s="7" t="s">
        <v>3027</v>
      </c>
      <c r="H373" s="5" t="s">
        <v>3028</v>
      </c>
      <c r="I373" s="5" t="s">
        <v>3029</v>
      </c>
      <c r="J373" s="5" t="s">
        <v>5</v>
      </c>
      <c r="K373" s="5" t="s">
        <v>32</v>
      </c>
      <c r="L373" s="5" t="s">
        <v>141</v>
      </c>
      <c r="M373" s="5" t="s">
        <v>433</v>
      </c>
    </row>
    <row r="374" ht="22.5" customHeight="1">
      <c r="A374" s="4">
        <v>46071.046557974536</v>
      </c>
      <c r="B374" s="5" t="s">
        <v>3030</v>
      </c>
      <c r="C374" s="6" t="s">
        <v>3031</v>
      </c>
      <c r="D374" s="5" t="s">
        <v>3032</v>
      </c>
      <c r="E374" s="5" t="s">
        <v>16</v>
      </c>
      <c r="F374" s="7" t="s">
        <v>3033</v>
      </c>
      <c r="G374" s="7" t="s">
        <v>3034</v>
      </c>
      <c r="H374" s="5" t="s">
        <v>3035</v>
      </c>
      <c r="I374" s="5" t="s">
        <v>3036</v>
      </c>
      <c r="J374" s="5" t="s">
        <v>248</v>
      </c>
      <c r="K374" s="5" t="s">
        <v>22</v>
      </c>
      <c r="L374" s="5" t="s">
        <v>123</v>
      </c>
      <c r="M374" s="5" t="s">
        <v>3037</v>
      </c>
    </row>
    <row r="375" ht="22.5" customHeight="1">
      <c r="A375" s="4">
        <v>46071.06527253472</v>
      </c>
      <c r="B375" s="5" t="s">
        <v>3038</v>
      </c>
      <c r="C375" s="6" t="s">
        <v>3039</v>
      </c>
      <c r="D375" s="5" t="s">
        <v>3040</v>
      </c>
      <c r="E375" s="5" t="s">
        <v>16</v>
      </c>
      <c r="F375" s="7" t="s">
        <v>3041</v>
      </c>
      <c r="G375" s="7" t="s">
        <v>3042</v>
      </c>
      <c r="H375" s="5" t="s">
        <v>3043</v>
      </c>
      <c r="I375" s="5" t="s">
        <v>3044</v>
      </c>
      <c r="J375" s="5" t="s">
        <v>3045</v>
      </c>
      <c r="K375" s="5" t="s">
        <v>32</v>
      </c>
      <c r="L375" s="5" t="s">
        <v>141</v>
      </c>
      <c r="M375" s="5" t="s">
        <v>3046</v>
      </c>
    </row>
    <row r="376" ht="22.5" customHeight="1">
      <c r="A376" s="4">
        <v>46071.07630623842</v>
      </c>
      <c r="B376" s="5" t="s">
        <v>3047</v>
      </c>
      <c r="C376" s="6" t="s">
        <v>3048</v>
      </c>
      <c r="D376" s="5" t="s">
        <v>3049</v>
      </c>
      <c r="E376" s="5" t="s">
        <v>47</v>
      </c>
      <c r="F376" s="7" t="s">
        <v>3050</v>
      </c>
      <c r="G376" s="7" t="s">
        <v>3051</v>
      </c>
      <c r="H376" s="5" t="s">
        <v>3052</v>
      </c>
      <c r="I376" s="5" t="s">
        <v>3053</v>
      </c>
      <c r="J376" s="5" t="s">
        <v>149</v>
      </c>
      <c r="K376" s="5" t="s">
        <v>32</v>
      </c>
      <c r="L376" s="5" t="s">
        <v>249</v>
      </c>
      <c r="M376" s="5" t="s">
        <v>417</v>
      </c>
    </row>
    <row r="377" ht="22.5" customHeight="1">
      <c r="A377" s="4">
        <v>46071.12576516204</v>
      </c>
      <c r="B377" s="5" t="s">
        <v>3054</v>
      </c>
      <c r="C377" s="6" t="s">
        <v>3055</v>
      </c>
      <c r="D377" s="5" t="s">
        <v>3056</v>
      </c>
      <c r="E377" s="5" t="s">
        <v>47</v>
      </c>
      <c r="F377" s="7" t="s">
        <v>3057</v>
      </c>
      <c r="G377" s="7" t="s">
        <v>3058</v>
      </c>
      <c r="H377" s="5" t="s">
        <v>3059</v>
      </c>
      <c r="I377" s="5" t="s">
        <v>3060</v>
      </c>
      <c r="J377" s="5" t="s">
        <v>248</v>
      </c>
      <c r="K377" s="5" t="s">
        <v>32</v>
      </c>
      <c r="L377" s="5" t="s">
        <v>141</v>
      </c>
      <c r="M377" s="5" t="s">
        <v>20</v>
      </c>
    </row>
    <row r="378" ht="22.5" customHeight="1">
      <c r="A378" s="4">
        <v>46071.80397767361</v>
      </c>
      <c r="B378" s="5" t="s">
        <v>3061</v>
      </c>
      <c r="C378" s="6" t="s">
        <v>3062</v>
      </c>
      <c r="D378" s="5" t="s">
        <v>3063</v>
      </c>
      <c r="E378" s="5" t="s">
        <v>47</v>
      </c>
      <c r="F378" s="7" t="s">
        <v>3064</v>
      </c>
      <c r="G378" s="7" t="s">
        <v>3065</v>
      </c>
      <c r="H378" s="5" t="s">
        <v>3066</v>
      </c>
      <c r="I378" s="5" t="s">
        <v>3067</v>
      </c>
      <c r="J378" s="5" t="s">
        <v>581</v>
      </c>
      <c r="K378" s="5" t="s">
        <v>22</v>
      </c>
      <c r="L378" s="5" t="s">
        <v>3068</v>
      </c>
      <c r="M378" s="5" t="s">
        <v>3069</v>
      </c>
    </row>
    <row r="379" ht="22.5" customHeight="1">
      <c r="A379" s="4">
        <v>46071.954733391205</v>
      </c>
      <c r="B379" s="5" t="s">
        <v>3070</v>
      </c>
      <c r="C379" s="6" t="s">
        <v>3071</v>
      </c>
      <c r="D379" s="5" t="s">
        <v>3072</v>
      </c>
      <c r="E379" s="5" t="s">
        <v>47</v>
      </c>
      <c r="F379" s="7" t="s">
        <v>3073</v>
      </c>
      <c r="G379" s="7" t="s">
        <v>3074</v>
      </c>
      <c r="H379" s="5" t="s">
        <v>3075</v>
      </c>
      <c r="I379" s="5" t="s">
        <v>3076</v>
      </c>
      <c r="J379" s="5" t="s">
        <v>5</v>
      </c>
      <c r="K379" s="5" t="s">
        <v>32</v>
      </c>
      <c r="L379" s="5" t="s">
        <v>111</v>
      </c>
      <c r="M379" s="5" t="s">
        <v>250</v>
      </c>
    </row>
    <row r="380" ht="22.5" customHeight="1">
      <c r="A380" s="4">
        <v>46072.35571758102</v>
      </c>
      <c r="B380" s="5" t="s">
        <v>3077</v>
      </c>
      <c r="C380" s="6" t="s">
        <v>3078</v>
      </c>
      <c r="D380" s="5" t="s">
        <v>3079</v>
      </c>
      <c r="E380" s="5" t="s">
        <v>116</v>
      </c>
      <c r="F380" s="7" t="s">
        <v>3080</v>
      </c>
      <c r="G380" s="7" t="s">
        <v>3081</v>
      </c>
      <c r="H380" s="5" t="s">
        <v>3082</v>
      </c>
      <c r="I380" s="5" t="s">
        <v>3083</v>
      </c>
      <c r="J380" s="5" t="s">
        <v>3084</v>
      </c>
      <c r="K380" s="5" t="s">
        <v>22</v>
      </c>
      <c r="L380" s="5" t="s">
        <v>123</v>
      </c>
      <c r="M380" s="5" t="s">
        <v>839</v>
      </c>
    </row>
    <row r="381" ht="22.5" customHeight="1">
      <c r="A381" s="4">
        <v>46072.44374079861</v>
      </c>
      <c r="B381" s="5" t="s">
        <v>3085</v>
      </c>
      <c r="C381" s="6" t="s">
        <v>3086</v>
      </c>
      <c r="D381" s="5" t="s">
        <v>3087</v>
      </c>
      <c r="E381" s="5" t="s">
        <v>16</v>
      </c>
      <c r="F381" s="7" t="s">
        <v>3088</v>
      </c>
      <c r="G381" s="7" t="s">
        <v>3089</v>
      </c>
      <c r="H381" s="5" t="s">
        <v>3090</v>
      </c>
      <c r="I381" s="5" t="s">
        <v>3091</v>
      </c>
      <c r="J381" s="5" t="s">
        <v>5</v>
      </c>
      <c r="K381" s="5" t="s">
        <v>32</v>
      </c>
      <c r="L381" s="5" t="s">
        <v>2664</v>
      </c>
      <c r="M381" s="5" t="s">
        <v>3092</v>
      </c>
    </row>
    <row r="382" ht="22.5" customHeight="1">
      <c r="A382" s="4">
        <v>46072.91586033565</v>
      </c>
      <c r="B382" s="5" t="s">
        <v>3093</v>
      </c>
      <c r="C382" s="6" t="s">
        <v>3094</v>
      </c>
      <c r="D382" s="5" t="s">
        <v>3095</v>
      </c>
      <c r="E382" s="5" t="s">
        <v>47</v>
      </c>
      <c r="F382" s="7" t="s">
        <v>3096</v>
      </c>
      <c r="G382" s="7" t="s">
        <v>3097</v>
      </c>
      <c r="H382" s="5" t="s">
        <v>3098</v>
      </c>
      <c r="I382" s="5" t="s">
        <v>3099</v>
      </c>
      <c r="J382" s="5" t="s">
        <v>3100</v>
      </c>
      <c r="K382" s="5" t="s">
        <v>22</v>
      </c>
      <c r="L382" s="5" t="s">
        <v>771</v>
      </c>
      <c r="M382" s="5" t="s">
        <v>3101</v>
      </c>
    </row>
    <row r="383" ht="22.5" customHeight="1">
      <c r="A383" s="4">
        <v>46072.92198900463</v>
      </c>
      <c r="B383" s="5" t="s">
        <v>3102</v>
      </c>
      <c r="C383" s="6" t="s">
        <v>3094</v>
      </c>
      <c r="D383" s="5" t="s">
        <v>3095</v>
      </c>
      <c r="E383" s="5" t="s">
        <v>47</v>
      </c>
      <c r="F383" s="7" t="s">
        <v>3096</v>
      </c>
      <c r="G383" s="7" t="s">
        <v>3103</v>
      </c>
      <c r="H383" s="5" t="s">
        <v>3098</v>
      </c>
      <c r="I383" s="5" t="s">
        <v>3099</v>
      </c>
      <c r="J383" s="5" t="s">
        <v>3104</v>
      </c>
      <c r="K383" s="5" t="s">
        <v>22</v>
      </c>
      <c r="L383" s="5" t="s">
        <v>771</v>
      </c>
      <c r="M383" s="5" t="s">
        <v>3101</v>
      </c>
    </row>
    <row r="384" ht="22.5" customHeight="1">
      <c r="A384" s="4">
        <v>46073.07950976852</v>
      </c>
      <c r="B384" s="5" t="s">
        <v>3105</v>
      </c>
      <c r="C384" s="6" t="s">
        <v>3106</v>
      </c>
      <c r="D384" s="5" t="s">
        <v>3107</v>
      </c>
      <c r="E384" s="5" t="s">
        <v>47</v>
      </c>
      <c r="F384" s="7" t="s">
        <v>3108</v>
      </c>
      <c r="G384" s="7" t="s">
        <v>3109</v>
      </c>
      <c r="H384" s="5" t="s">
        <v>3110</v>
      </c>
      <c r="I384" s="5" t="s">
        <v>3111</v>
      </c>
      <c r="J384" s="5" t="s">
        <v>248</v>
      </c>
      <c r="K384" s="5" t="s">
        <v>32</v>
      </c>
      <c r="L384" s="5" t="s">
        <v>3112</v>
      </c>
      <c r="M384" s="5" t="s">
        <v>292</v>
      </c>
    </row>
    <row r="385" ht="22.5" customHeight="1">
      <c r="A385" s="4">
        <v>46073.39412362268</v>
      </c>
      <c r="B385" s="5" t="s">
        <v>3113</v>
      </c>
      <c r="C385" s="6" t="s">
        <v>3114</v>
      </c>
      <c r="D385" s="5" t="s">
        <v>3115</v>
      </c>
      <c r="E385" s="5" t="s">
        <v>47</v>
      </c>
      <c r="F385" s="7" t="s">
        <v>3116</v>
      </c>
      <c r="G385" s="7" t="s">
        <v>3117</v>
      </c>
      <c r="H385" s="5" t="s">
        <v>3118</v>
      </c>
      <c r="I385" s="5" t="s">
        <v>3119</v>
      </c>
      <c r="J385" s="5" t="s">
        <v>248</v>
      </c>
      <c r="K385" s="5" t="s">
        <v>110</v>
      </c>
      <c r="L385" s="5" t="s">
        <v>123</v>
      </c>
      <c r="M385" s="5" t="s">
        <v>963</v>
      </c>
    </row>
    <row r="386" ht="22.5" customHeight="1">
      <c r="A386" s="4">
        <v>46073.46859957176</v>
      </c>
      <c r="B386" s="5" t="s">
        <v>3120</v>
      </c>
      <c r="C386" s="6" t="s">
        <v>3121</v>
      </c>
      <c r="D386" s="5" t="s">
        <v>3122</v>
      </c>
      <c r="E386" s="5" t="s">
        <v>16</v>
      </c>
      <c r="F386" s="7" t="s">
        <v>3123</v>
      </c>
      <c r="G386" s="7" t="s">
        <v>3124</v>
      </c>
      <c r="H386" s="5" t="s">
        <v>3125</v>
      </c>
      <c r="I386" s="5" t="s">
        <v>3126</v>
      </c>
      <c r="J386" s="5" t="s">
        <v>872</v>
      </c>
      <c r="K386" s="5" t="s">
        <v>32</v>
      </c>
      <c r="L386" s="5" t="s">
        <v>141</v>
      </c>
      <c r="M386" s="5" t="s">
        <v>3127</v>
      </c>
    </row>
    <row r="387" ht="22.5" customHeight="1">
      <c r="A387" s="4">
        <v>46073.76840671296</v>
      </c>
      <c r="B387" s="5" t="s">
        <v>3128</v>
      </c>
      <c r="C387" s="6" t="s">
        <v>3129</v>
      </c>
      <c r="D387" s="5" t="s">
        <v>3130</v>
      </c>
      <c r="E387" s="5" t="s">
        <v>47</v>
      </c>
      <c r="F387" s="7" t="s">
        <v>3131</v>
      </c>
      <c r="G387" s="7" t="s">
        <v>3132</v>
      </c>
      <c r="H387" s="5" t="s">
        <v>3133</v>
      </c>
      <c r="I387" s="5" t="s">
        <v>3134</v>
      </c>
      <c r="J387" s="5" t="s">
        <v>149</v>
      </c>
      <c r="K387" s="5" t="s">
        <v>32</v>
      </c>
      <c r="L387" s="5" t="s">
        <v>123</v>
      </c>
      <c r="M387" s="5" t="s">
        <v>391</v>
      </c>
    </row>
    <row r="388" ht="22.5" customHeight="1">
      <c r="A388" s="4">
        <v>46073.89709604166</v>
      </c>
      <c r="B388" s="5" t="s">
        <v>3135</v>
      </c>
      <c r="C388" s="6" t="s">
        <v>3136</v>
      </c>
      <c r="D388" s="5" t="s">
        <v>3137</v>
      </c>
      <c r="E388" s="5" t="s">
        <v>47</v>
      </c>
      <c r="F388" s="7" t="s">
        <v>3138</v>
      </c>
      <c r="G388" s="7" t="s">
        <v>3139</v>
      </c>
      <c r="H388" s="5" t="s">
        <v>3140</v>
      </c>
      <c r="I388" s="5" t="s">
        <v>3141</v>
      </c>
      <c r="J388" s="5" t="s">
        <v>248</v>
      </c>
      <c r="K388" s="5" t="s">
        <v>32</v>
      </c>
      <c r="L388" s="5" t="s">
        <v>771</v>
      </c>
      <c r="M388" s="5" t="s">
        <v>34</v>
      </c>
    </row>
    <row r="389" ht="22.5" customHeight="1">
      <c r="A389" s="4">
        <v>46074.68248570602</v>
      </c>
      <c r="B389" s="5" t="s">
        <v>3142</v>
      </c>
      <c r="C389" s="6" t="s">
        <v>3143</v>
      </c>
      <c r="D389" s="5" t="s">
        <v>3144</v>
      </c>
      <c r="E389" s="5" t="s">
        <v>116</v>
      </c>
      <c r="F389" s="7" t="s">
        <v>3145</v>
      </c>
      <c r="G389" s="7" t="s">
        <v>3146</v>
      </c>
      <c r="H389" s="5" t="s">
        <v>3147</v>
      </c>
      <c r="I389" s="5" t="s">
        <v>3148</v>
      </c>
      <c r="J389" s="5" t="s">
        <v>3149</v>
      </c>
      <c r="K389" s="5" t="s">
        <v>122</v>
      </c>
      <c r="L389" s="5" t="s">
        <v>3150</v>
      </c>
      <c r="M389" s="5" t="s">
        <v>2148</v>
      </c>
    </row>
    <row r="390" ht="22.5" customHeight="1">
      <c r="A390" s="4">
        <v>46075.64158924768</v>
      </c>
      <c r="B390" s="5" t="s">
        <v>3151</v>
      </c>
      <c r="C390" s="6" t="s">
        <v>3152</v>
      </c>
      <c r="D390" s="5" t="s">
        <v>3153</v>
      </c>
      <c r="E390" s="5" t="s">
        <v>47</v>
      </c>
      <c r="F390" s="7" t="s">
        <v>3154</v>
      </c>
      <c r="G390" s="7" t="s">
        <v>3155</v>
      </c>
      <c r="H390" s="5" t="s">
        <v>3156</v>
      </c>
      <c r="I390" s="5" t="s">
        <v>3157</v>
      </c>
      <c r="J390" s="5" t="s">
        <v>3158</v>
      </c>
      <c r="K390" s="5" t="s">
        <v>32</v>
      </c>
      <c r="L390" s="5" t="s">
        <v>187</v>
      </c>
      <c r="M390" s="5" t="s">
        <v>3159</v>
      </c>
    </row>
    <row r="391" ht="22.5" customHeight="1">
      <c r="A391" s="4">
        <v>46079.042978067126</v>
      </c>
      <c r="B391" s="5" t="s">
        <v>3160</v>
      </c>
      <c r="C391" s="6" t="s">
        <v>3161</v>
      </c>
      <c r="D391" s="5" t="s">
        <v>3162</v>
      </c>
      <c r="E391" s="5" t="s">
        <v>47</v>
      </c>
      <c r="F391" s="7" t="s">
        <v>3163</v>
      </c>
      <c r="G391" s="7" t="s">
        <v>3164</v>
      </c>
      <c r="H391" s="5" t="s">
        <v>3165</v>
      </c>
      <c r="I391" s="5" t="s">
        <v>3166</v>
      </c>
      <c r="J391" s="5" t="s">
        <v>248</v>
      </c>
      <c r="K391" s="5" t="s">
        <v>22</v>
      </c>
      <c r="L391" s="5" t="s">
        <v>3167</v>
      </c>
      <c r="M391" s="5" t="s">
        <v>433</v>
      </c>
    </row>
    <row r="392" ht="22.5" customHeight="1">
      <c r="A392" s="4">
        <v>46080.97052097222</v>
      </c>
      <c r="B392" s="5" t="s">
        <v>3168</v>
      </c>
      <c r="C392" s="6" t="s">
        <v>3169</v>
      </c>
      <c r="D392" s="5" t="s">
        <v>3170</v>
      </c>
      <c r="E392" s="5" t="s">
        <v>16</v>
      </c>
      <c r="F392" s="7" t="s">
        <v>3171</v>
      </c>
      <c r="G392" s="7" t="s">
        <v>3172</v>
      </c>
      <c r="H392" s="5" t="s">
        <v>3173</v>
      </c>
      <c r="I392" s="5" t="s">
        <v>3174</v>
      </c>
      <c r="J392" s="5" t="s">
        <v>176</v>
      </c>
      <c r="K392" s="5" t="s">
        <v>122</v>
      </c>
      <c r="L392" s="5" t="s">
        <v>475</v>
      </c>
      <c r="M392" s="5" t="s">
        <v>3175</v>
      </c>
    </row>
    <row r="393" ht="22.5" customHeight="1">
      <c r="A393" s="4">
        <v>46086.78600766204</v>
      </c>
      <c r="B393" s="5" t="s">
        <v>3176</v>
      </c>
      <c r="C393" s="6" t="s">
        <v>3177</v>
      </c>
      <c r="D393" s="5" t="s">
        <v>3178</v>
      </c>
      <c r="E393" s="5" t="s">
        <v>16</v>
      </c>
      <c r="F393" s="7" t="s">
        <v>3179</v>
      </c>
      <c r="G393" s="7" t="s">
        <v>3180</v>
      </c>
      <c r="H393" s="5" t="s">
        <v>3181</v>
      </c>
      <c r="I393" s="5" t="s">
        <v>3182</v>
      </c>
      <c r="J393" s="5" t="s">
        <v>3183</v>
      </c>
      <c r="K393" s="5" t="s">
        <v>32</v>
      </c>
      <c r="L393" s="5" t="s">
        <v>3184</v>
      </c>
      <c r="M393" s="5" t="s">
        <v>3185</v>
      </c>
    </row>
    <row r="394" ht="22.5" customHeight="1">
      <c r="A394" s="4">
        <v>46089.51244372685</v>
      </c>
      <c r="B394" s="5" t="s">
        <v>3186</v>
      </c>
      <c r="C394" s="6" t="s">
        <v>3187</v>
      </c>
      <c r="D394" s="5" t="s">
        <v>3188</v>
      </c>
      <c r="E394" s="5" t="s">
        <v>116</v>
      </c>
      <c r="F394" s="7" t="s">
        <v>3189</v>
      </c>
      <c r="G394" s="7" t="s">
        <v>3190</v>
      </c>
      <c r="H394" s="8" t="s">
        <v>3191</v>
      </c>
      <c r="I394" s="8" t="s">
        <v>3192</v>
      </c>
      <c r="J394" s="5" t="s">
        <v>3193</v>
      </c>
      <c r="K394" s="5" t="s">
        <v>110</v>
      </c>
      <c r="L394" s="5" t="s">
        <v>3194</v>
      </c>
      <c r="M394" s="5" t="s">
        <v>3195</v>
      </c>
    </row>
    <row r="395" ht="22.5" customHeight="1">
      <c r="A395" s="4">
        <v>46090.80622949074</v>
      </c>
      <c r="B395" s="5" t="s">
        <v>3196</v>
      </c>
      <c r="C395" s="6" t="s">
        <v>3197</v>
      </c>
      <c r="D395" s="5" t="s">
        <v>3198</v>
      </c>
      <c r="E395" s="5" t="s">
        <v>47</v>
      </c>
      <c r="F395" s="7" t="s">
        <v>3199</v>
      </c>
      <c r="G395" s="7" t="s">
        <v>3200</v>
      </c>
      <c r="H395" s="5" t="s">
        <v>3201</v>
      </c>
      <c r="I395" s="5" t="s">
        <v>3202</v>
      </c>
      <c r="J395" s="5" t="s">
        <v>3203</v>
      </c>
      <c r="K395" s="5" t="s">
        <v>32</v>
      </c>
      <c r="L395" s="5" t="s">
        <v>3204</v>
      </c>
      <c r="M395" s="5" t="s">
        <v>573</v>
      </c>
    </row>
    <row r="396" ht="22.5" customHeight="1">
      <c r="A396" s="4">
        <v>46095.854005625</v>
      </c>
      <c r="B396" s="5" t="s">
        <v>1446</v>
      </c>
      <c r="C396" s="6" t="s">
        <v>1447</v>
      </c>
      <c r="D396" s="5" t="s">
        <v>1448</v>
      </c>
      <c r="E396" s="5" t="s">
        <v>47</v>
      </c>
      <c r="F396" s="7" t="s">
        <v>1449</v>
      </c>
      <c r="G396" s="7" t="s">
        <v>3205</v>
      </c>
      <c r="H396" s="5" t="s">
        <v>3206</v>
      </c>
      <c r="I396" s="5" t="s">
        <v>3207</v>
      </c>
      <c r="J396" s="5" t="s">
        <v>1788</v>
      </c>
      <c r="K396" s="5" t="s">
        <v>22</v>
      </c>
      <c r="L396" s="5" t="s">
        <v>91</v>
      </c>
      <c r="M396" s="5" t="s">
        <v>3208</v>
      </c>
    </row>
    <row r="397" ht="22.5" customHeight="1">
      <c r="A397" s="4">
        <v>46102.47467984953</v>
      </c>
      <c r="B397" s="5" t="s">
        <v>3209</v>
      </c>
      <c r="C397" s="6" t="s">
        <v>3210</v>
      </c>
      <c r="D397" s="5" t="s">
        <v>3211</v>
      </c>
      <c r="E397" s="5" t="s">
        <v>116</v>
      </c>
      <c r="F397" s="7" t="s">
        <v>3212</v>
      </c>
      <c r="G397" s="7" t="s">
        <v>3213</v>
      </c>
      <c r="H397" s="5" t="s">
        <v>3214</v>
      </c>
      <c r="I397" s="5" t="s">
        <v>3215</v>
      </c>
      <c r="J397" s="5" t="s">
        <v>355</v>
      </c>
      <c r="K397" s="5" t="s">
        <v>32</v>
      </c>
      <c r="L397" s="5" t="s">
        <v>475</v>
      </c>
      <c r="M397" s="5" t="s">
        <v>417</v>
      </c>
    </row>
    <row r="398" ht="22.5" customHeight="1">
      <c r="A398" s="9">
        <v>46105.62114299768</v>
      </c>
      <c r="B398" s="10" t="s">
        <v>3216</v>
      </c>
      <c r="C398" s="11" t="s">
        <v>3217</v>
      </c>
      <c r="D398" s="10" t="s">
        <v>3218</v>
      </c>
      <c r="E398" s="10" t="s">
        <v>16</v>
      </c>
      <c r="F398" s="12" t="s">
        <v>3219</v>
      </c>
      <c r="G398" s="12" t="s">
        <v>3220</v>
      </c>
      <c r="H398" s="10" t="s">
        <v>417</v>
      </c>
      <c r="I398" s="10" t="s">
        <v>417</v>
      </c>
      <c r="J398" s="10" t="s">
        <v>21</v>
      </c>
      <c r="K398" s="10" t="s">
        <v>32</v>
      </c>
      <c r="L398" s="10" t="s">
        <v>91</v>
      </c>
      <c r="M398" s="10" t="s">
        <v>417</v>
      </c>
    </row>
    <row r="399" ht="22.5" customHeight="1">
      <c r="A399" s="9">
        <v>46106.983148495376</v>
      </c>
      <c r="B399" s="10" t="s">
        <v>3221</v>
      </c>
      <c r="C399" s="11" t="s">
        <v>3222</v>
      </c>
      <c r="D399" s="10" t="s">
        <v>3223</v>
      </c>
      <c r="E399" s="10" t="s">
        <v>116</v>
      </c>
      <c r="F399" s="12" t="s">
        <v>3224</v>
      </c>
      <c r="G399" s="12" t="s">
        <v>3225</v>
      </c>
      <c r="H399" s="10" t="s">
        <v>3226</v>
      </c>
      <c r="I399" s="10" t="s">
        <v>3227</v>
      </c>
      <c r="J399" s="10" t="s">
        <v>3228</v>
      </c>
      <c r="K399" s="10" t="s">
        <v>22</v>
      </c>
      <c r="L399" s="10" t="s">
        <v>532</v>
      </c>
      <c r="M399" s="10" t="s">
        <v>160</v>
      </c>
    </row>
    <row r="400" ht="22.5" customHeight="1">
      <c r="A400" s="9">
        <v>46106.989917280094</v>
      </c>
      <c r="B400" s="10" t="s">
        <v>3229</v>
      </c>
      <c r="C400" s="11" t="s">
        <v>3230</v>
      </c>
      <c r="D400" s="10" t="s">
        <v>3231</v>
      </c>
      <c r="E400" s="10" t="s">
        <v>116</v>
      </c>
      <c r="F400" s="12" t="s">
        <v>3232</v>
      </c>
      <c r="G400" s="12" t="s">
        <v>3233</v>
      </c>
      <c r="H400" s="10" t="s">
        <v>3234</v>
      </c>
      <c r="I400" s="10" t="s">
        <v>3235</v>
      </c>
      <c r="J400" s="10" t="s">
        <v>3236</v>
      </c>
      <c r="K400" s="10" t="s">
        <v>122</v>
      </c>
      <c r="L400" s="10" t="s">
        <v>532</v>
      </c>
      <c r="M400" s="10" t="s">
        <v>417</v>
      </c>
    </row>
    <row r="401" ht="22.5" customHeight="1">
      <c r="A401" s="9">
        <v>46107.02160269676</v>
      </c>
      <c r="B401" s="10" t="s">
        <v>3237</v>
      </c>
      <c r="C401" s="11" t="s">
        <v>3238</v>
      </c>
      <c r="D401" s="10" t="s">
        <v>3239</v>
      </c>
      <c r="E401" s="10" t="s">
        <v>47</v>
      </c>
      <c r="F401" s="12" t="s">
        <v>3240</v>
      </c>
      <c r="G401" s="12" t="s">
        <v>3241</v>
      </c>
      <c r="H401" s="13" t="s">
        <v>3242</v>
      </c>
      <c r="I401" s="13" t="s">
        <v>3243</v>
      </c>
      <c r="J401" s="10" t="s">
        <v>21</v>
      </c>
      <c r="K401" s="10" t="s">
        <v>32</v>
      </c>
      <c r="L401" s="10" t="s">
        <v>1536</v>
      </c>
      <c r="M401" s="13" t="s">
        <v>3244</v>
      </c>
    </row>
    <row r="402" ht="22.5" customHeight="1">
      <c r="A402" s="9">
        <v>46107.127312129625</v>
      </c>
      <c r="B402" s="10" t="s">
        <v>3245</v>
      </c>
      <c r="C402" s="11" t="s">
        <v>3246</v>
      </c>
      <c r="D402" s="10" t="s">
        <v>3247</v>
      </c>
      <c r="E402" s="10" t="s">
        <v>47</v>
      </c>
      <c r="F402" s="12" t="s">
        <v>3248</v>
      </c>
      <c r="G402" s="12" t="s">
        <v>3249</v>
      </c>
      <c r="H402" s="10" t="s">
        <v>3250</v>
      </c>
      <c r="I402" s="10" t="s">
        <v>3251</v>
      </c>
      <c r="J402" s="10" t="s">
        <v>3252</v>
      </c>
      <c r="K402" s="10" t="s">
        <v>32</v>
      </c>
      <c r="L402" s="10" t="s">
        <v>141</v>
      </c>
      <c r="M402" s="10" t="s">
        <v>2413</v>
      </c>
    </row>
    <row r="403" ht="22.5" customHeight="1">
      <c r="A403" s="9">
        <v>46107.9302980787</v>
      </c>
      <c r="B403" s="10" t="s">
        <v>3253</v>
      </c>
      <c r="C403" s="11" t="s">
        <v>3254</v>
      </c>
      <c r="D403" s="10" t="s">
        <v>3255</v>
      </c>
      <c r="E403" s="10" t="s">
        <v>16</v>
      </c>
      <c r="F403" s="12" t="s">
        <v>3256</v>
      </c>
      <c r="G403" s="12" t="s">
        <v>3257</v>
      </c>
      <c r="H403" s="10" t="s">
        <v>3258</v>
      </c>
      <c r="I403" s="10" t="s">
        <v>3259</v>
      </c>
      <c r="J403" s="10" t="s">
        <v>3260</v>
      </c>
      <c r="K403" s="10" t="s">
        <v>32</v>
      </c>
      <c r="L403" s="10" t="s">
        <v>123</v>
      </c>
      <c r="M403" s="10" t="s">
        <v>3261</v>
      </c>
    </row>
    <row r="404" ht="22.5" customHeight="1">
      <c r="A404" s="9">
        <v>46108.34544554398</v>
      </c>
      <c r="B404" s="10" t="s">
        <v>3262</v>
      </c>
      <c r="C404" s="11" t="s">
        <v>3263</v>
      </c>
      <c r="D404" s="10" t="s">
        <v>3264</v>
      </c>
      <c r="E404" s="10" t="s">
        <v>47</v>
      </c>
      <c r="F404" s="12" t="s">
        <v>3265</v>
      </c>
      <c r="G404" s="12" t="s">
        <v>3266</v>
      </c>
      <c r="H404" s="10" t="s">
        <v>3267</v>
      </c>
      <c r="I404" s="10" t="s">
        <v>3268</v>
      </c>
      <c r="J404" s="10" t="s">
        <v>581</v>
      </c>
      <c r="K404" s="10" t="s">
        <v>22</v>
      </c>
      <c r="L404" s="10" t="s">
        <v>123</v>
      </c>
      <c r="M404" s="10" t="s">
        <v>73</v>
      </c>
    </row>
    <row r="405" ht="22.5" customHeight="1">
      <c r="A405" s="9">
        <v>46109.22218059028</v>
      </c>
      <c r="B405" s="10" t="s">
        <v>3269</v>
      </c>
      <c r="C405" s="11" t="s">
        <v>3270</v>
      </c>
      <c r="D405" s="10" t="s">
        <v>3271</v>
      </c>
      <c r="E405" s="10" t="s">
        <v>47</v>
      </c>
      <c r="F405" s="12" t="s">
        <v>3272</v>
      </c>
      <c r="G405" s="12" t="s">
        <v>3273</v>
      </c>
      <c r="H405" s="10" t="s">
        <v>3274</v>
      </c>
      <c r="I405" s="10" t="s">
        <v>3275</v>
      </c>
      <c r="J405" s="10" t="s">
        <v>149</v>
      </c>
      <c r="K405" s="10" t="s">
        <v>32</v>
      </c>
      <c r="L405" s="10" t="s">
        <v>2656</v>
      </c>
      <c r="M405" s="10" t="s">
        <v>73</v>
      </c>
    </row>
    <row r="406" ht="22.5" customHeight="1">
      <c r="A406" s="9">
        <v>46109.68140112268</v>
      </c>
      <c r="B406" s="10" t="s">
        <v>3276</v>
      </c>
      <c r="C406" s="11" t="s">
        <v>1080</v>
      </c>
      <c r="D406" s="10" t="s">
        <v>1081</v>
      </c>
      <c r="E406" s="10" t="s">
        <v>16</v>
      </c>
      <c r="F406" s="12" t="s">
        <v>1082</v>
      </c>
      <c r="G406" s="12" t="s">
        <v>3277</v>
      </c>
      <c r="H406" s="10" t="s">
        <v>3278</v>
      </c>
      <c r="I406" s="10" t="s">
        <v>3279</v>
      </c>
      <c r="J406" s="10" t="s">
        <v>355</v>
      </c>
      <c r="K406" s="10" t="s">
        <v>22</v>
      </c>
      <c r="L406" s="10" t="s">
        <v>3280</v>
      </c>
      <c r="M406" s="10" t="s">
        <v>417</v>
      </c>
    </row>
    <row r="407" ht="22.5" customHeight="1">
      <c r="A407" s="9">
        <v>46109.72980077546</v>
      </c>
      <c r="B407" s="10" t="s">
        <v>3281</v>
      </c>
      <c r="C407" s="11" t="s">
        <v>3282</v>
      </c>
      <c r="D407" s="10" t="s">
        <v>3283</v>
      </c>
      <c r="E407" s="10" t="s">
        <v>47</v>
      </c>
      <c r="F407" s="12" t="s">
        <v>3284</v>
      </c>
      <c r="G407" s="12" t="s">
        <v>3285</v>
      </c>
      <c r="H407" s="10" t="s">
        <v>3286</v>
      </c>
      <c r="I407" s="10" t="s">
        <v>3287</v>
      </c>
      <c r="J407" s="10" t="s">
        <v>149</v>
      </c>
      <c r="K407" s="10" t="s">
        <v>22</v>
      </c>
      <c r="L407" s="10" t="s">
        <v>3288</v>
      </c>
      <c r="M407" s="10" t="s">
        <v>250</v>
      </c>
    </row>
    <row r="408" ht="22.5" customHeight="1">
      <c r="A408" s="9">
        <v>46109.8455487037</v>
      </c>
      <c r="B408" s="10" t="s">
        <v>3289</v>
      </c>
      <c r="C408" s="11" t="s">
        <v>3290</v>
      </c>
      <c r="D408" s="10" t="s">
        <v>3291</v>
      </c>
      <c r="E408" s="10" t="s">
        <v>116</v>
      </c>
      <c r="F408" s="12" t="s">
        <v>3292</v>
      </c>
      <c r="G408" s="12" t="s">
        <v>3293</v>
      </c>
      <c r="H408" s="10" t="s">
        <v>3294</v>
      </c>
      <c r="I408" s="10" t="s">
        <v>3295</v>
      </c>
      <c r="J408" s="10" t="s">
        <v>21</v>
      </c>
      <c r="K408" s="10" t="s">
        <v>32</v>
      </c>
      <c r="L408" s="10" t="s">
        <v>3296</v>
      </c>
      <c r="M408" s="10" t="s">
        <v>73</v>
      </c>
    </row>
    <row r="409" ht="22.5" customHeight="1">
      <c r="A409" s="9">
        <v>46110.13112435185</v>
      </c>
      <c r="B409" s="10" t="s">
        <v>3297</v>
      </c>
      <c r="C409" s="11" t="s">
        <v>3298</v>
      </c>
      <c r="D409" s="10" t="s">
        <v>3299</v>
      </c>
      <c r="E409" s="10" t="s">
        <v>47</v>
      </c>
      <c r="F409" s="12" t="s">
        <v>3300</v>
      </c>
      <c r="G409" s="12" t="s">
        <v>3301</v>
      </c>
      <c r="H409" s="10" t="s">
        <v>3302</v>
      </c>
      <c r="I409" s="10" t="s">
        <v>3303</v>
      </c>
      <c r="J409" s="10" t="s">
        <v>3304</v>
      </c>
      <c r="K409" s="10" t="s">
        <v>32</v>
      </c>
      <c r="L409" s="10" t="s">
        <v>698</v>
      </c>
      <c r="M409" s="10" t="s">
        <v>73</v>
      </c>
    </row>
    <row r="410" ht="22.5" customHeight="1">
      <c r="A410" s="9">
        <v>46110.93238456019</v>
      </c>
      <c r="B410" s="10" t="s">
        <v>3305</v>
      </c>
      <c r="C410" s="11" t="s">
        <v>3306</v>
      </c>
      <c r="D410" s="10" t="s">
        <v>3307</v>
      </c>
      <c r="E410" s="10" t="s">
        <v>16</v>
      </c>
      <c r="F410" s="12" t="s">
        <v>3308</v>
      </c>
      <c r="G410" s="12" t="s">
        <v>3309</v>
      </c>
      <c r="H410" s="10" t="s">
        <v>3310</v>
      </c>
      <c r="I410" s="10" t="s">
        <v>3311</v>
      </c>
      <c r="J410" s="10" t="s">
        <v>5</v>
      </c>
      <c r="K410" s="10" t="s">
        <v>32</v>
      </c>
      <c r="L410" s="10" t="s">
        <v>123</v>
      </c>
      <c r="M410" s="10" t="s">
        <v>3312</v>
      </c>
    </row>
    <row r="411" ht="22.5" customHeight="1">
      <c r="A411" s="9">
        <v>46112.709767002314</v>
      </c>
      <c r="B411" s="10" t="s">
        <v>3313</v>
      </c>
      <c r="C411" s="11" t="s">
        <v>3314</v>
      </c>
      <c r="D411" s="10" t="s">
        <v>3315</v>
      </c>
      <c r="E411" s="10" t="s">
        <v>16</v>
      </c>
      <c r="F411" s="12" t="s">
        <v>3316</v>
      </c>
      <c r="G411" s="12" t="s">
        <v>3317</v>
      </c>
      <c r="H411" s="10" t="s">
        <v>3318</v>
      </c>
      <c r="I411" s="10" t="s">
        <v>3319</v>
      </c>
      <c r="J411" s="10" t="s">
        <v>3320</v>
      </c>
      <c r="K411" s="10" t="s">
        <v>32</v>
      </c>
      <c r="L411" s="10" t="s">
        <v>141</v>
      </c>
      <c r="M411" s="10" t="s">
        <v>3321</v>
      </c>
    </row>
    <row r="412" ht="22.5" customHeight="1">
      <c r="A412" s="9">
        <v>46113.21413733796</v>
      </c>
      <c r="B412" s="10" t="s">
        <v>3322</v>
      </c>
      <c r="C412" s="11" t="s">
        <v>3323</v>
      </c>
      <c r="D412" s="10" t="s">
        <v>3324</v>
      </c>
      <c r="E412" s="10" t="s">
        <v>47</v>
      </c>
      <c r="F412" s="12" t="s">
        <v>3325</v>
      </c>
      <c r="G412" s="12" t="s">
        <v>3326</v>
      </c>
      <c r="H412" s="10" t="s">
        <v>3327</v>
      </c>
      <c r="I412" s="10" t="s">
        <v>3328</v>
      </c>
      <c r="J412" s="10" t="s">
        <v>5</v>
      </c>
      <c r="K412" s="10" t="s">
        <v>32</v>
      </c>
      <c r="L412" s="10" t="s">
        <v>3329</v>
      </c>
      <c r="M412" s="10" t="s">
        <v>652</v>
      </c>
    </row>
    <row r="413" ht="22.5" customHeight="1">
      <c r="A413" s="9">
        <v>46113.59131959491</v>
      </c>
      <c r="B413" s="10" t="s">
        <v>3330</v>
      </c>
      <c r="C413" s="11" t="s">
        <v>3331</v>
      </c>
      <c r="D413" s="10" t="s">
        <v>3332</v>
      </c>
      <c r="E413" s="10" t="s">
        <v>16</v>
      </c>
      <c r="F413" s="12" t="s">
        <v>3333</v>
      </c>
      <c r="G413" s="12" t="s">
        <v>3334</v>
      </c>
      <c r="H413" s="10" t="s">
        <v>3335</v>
      </c>
      <c r="I413" s="10" t="s">
        <v>3336</v>
      </c>
      <c r="J413" s="10" t="s">
        <v>499</v>
      </c>
      <c r="K413" s="10" t="s">
        <v>32</v>
      </c>
      <c r="L413" s="10" t="s">
        <v>123</v>
      </c>
      <c r="M413" s="10" t="s">
        <v>3337</v>
      </c>
    </row>
    <row r="414" ht="22.5" customHeight="1">
      <c r="A414" s="9">
        <v>46114.23273539352</v>
      </c>
      <c r="B414" s="10" t="s">
        <v>3338</v>
      </c>
      <c r="C414" s="11" t="s">
        <v>1581</v>
      </c>
      <c r="D414" s="10" t="s">
        <v>3339</v>
      </c>
      <c r="E414" s="10" t="s">
        <v>116</v>
      </c>
      <c r="F414" s="12" t="s">
        <v>3340</v>
      </c>
      <c r="G414" s="12" t="s">
        <v>3341</v>
      </c>
      <c r="H414" s="10" t="s">
        <v>3342</v>
      </c>
      <c r="I414" s="10" t="s">
        <v>3343</v>
      </c>
      <c r="J414" s="10" t="s">
        <v>3344</v>
      </c>
      <c r="K414" s="10" t="s">
        <v>22</v>
      </c>
      <c r="L414" s="10" t="s">
        <v>72</v>
      </c>
      <c r="M414" s="10" t="s">
        <v>3345</v>
      </c>
    </row>
    <row r="415" ht="22.5" customHeight="1">
      <c r="A415" s="9">
        <v>46118.23111849537</v>
      </c>
      <c r="B415" s="10" t="s">
        <v>3346</v>
      </c>
      <c r="C415" s="11" t="s">
        <v>3347</v>
      </c>
      <c r="D415" s="10" t="s">
        <v>3348</v>
      </c>
      <c r="E415" s="10" t="s">
        <v>16</v>
      </c>
      <c r="F415" s="12" t="s">
        <v>3349</v>
      </c>
      <c r="G415" s="12" t="s">
        <v>3350</v>
      </c>
      <c r="H415" s="10" t="s">
        <v>3351</v>
      </c>
      <c r="I415" s="10" t="s">
        <v>3352</v>
      </c>
      <c r="J415" s="10" t="s">
        <v>355</v>
      </c>
      <c r="K415" s="10" t="s">
        <v>32</v>
      </c>
      <c r="L415" s="10" t="s">
        <v>3353</v>
      </c>
      <c r="M415" s="10" t="s">
        <v>250</v>
      </c>
    </row>
    <row r="416" ht="22.5" customHeight="1">
      <c r="A416" s="9">
        <v>46120.79443689815</v>
      </c>
      <c r="B416" s="10" t="s">
        <v>3354</v>
      </c>
      <c r="C416" s="11" t="s">
        <v>3355</v>
      </c>
      <c r="D416" s="10" t="s">
        <v>3356</v>
      </c>
      <c r="E416" s="10" t="s">
        <v>16</v>
      </c>
      <c r="F416" s="12" t="s">
        <v>3357</v>
      </c>
      <c r="G416" s="12" t="s">
        <v>3358</v>
      </c>
      <c r="H416" s="10" t="s">
        <v>3359</v>
      </c>
      <c r="I416" s="10" t="s">
        <v>3360</v>
      </c>
      <c r="J416" s="10" t="s">
        <v>5</v>
      </c>
      <c r="K416" s="10" t="s">
        <v>32</v>
      </c>
      <c r="L416" s="10" t="s">
        <v>52</v>
      </c>
      <c r="M416" s="10" t="s">
        <v>3361</v>
      </c>
    </row>
    <row r="417" ht="22.5" customHeight="1">
      <c r="A417" s="9">
        <v>46123.91214591435</v>
      </c>
      <c r="B417" s="10" t="s">
        <v>3362</v>
      </c>
      <c r="C417" s="11" t="s">
        <v>3363</v>
      </c>
      <c r="D417" s="10" t="s">
        <v>3364</v>
      </c>
      <c r="E417" s="10" t="s">
        <v>16</v>
      </c>
      <c r="F417" s="12" t="s">
        <v>3365</v>
      </c>
      <c r="G417" s="12" t="s">
        <v>3366</v>
      </c>
      <c r="H417" s="10" t="s">
        <v>3367</v>
      </c>
      <c r="I417" s="10" t="s">
        <v>3368</v>
      </c>
      <c r="J417" s="10" t="s">
        <v>21</v>
      </c>
      <c r="K417" s="10" t="s">
        <v>110</v>
      </c>
      <c r="L417" s="10" t="s">
        <v>3369</v>
      </c>
      <c r="M417" s="10" t="s">
        <v>3370</v>
      </c>
    </row>
    <row r="418" ht="22.5" customHeight="1">
      <c r="A418" s="9">
        <v>46126.760594479165</v>
      </c>
      <c r="B418" s="10" t="s">
        <v>3371</v>
      </c>
      <c r="C418" s="11" t="s">
        <v>3372</v>
      </c>
      <c r="D418" s="10" t="s">
        <v>3373</v>
      </c>
      <c r="E418" s="10" t="s">
        <v>47</v>
      </c>
      <c r="F418" s="12" t="s">
        <v>3374</v>
      </c>
      <c r="G418" s="12" t="s">
        <v>3375</v>
      </c>
      <c r="H418" s="10" t="s">
        <v>3376</v>
      </c>
      <c r="I418" s="10" t="s">
        <v>3377</v>
      </c>
      <c r="J418" s="10" t="s">
        <v>581</v>
      </c>
      <c r="K418" s="10" t="s">
        <v>22</v>
      </c>
      <c r="L418" s="10" t="s">
        <v>2737</v>
      </c>
      <c r="M418" s="10" t="s">
        <v>3378</v>
      </c>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 r:id="rId43" ref="F23"/>
    <hyperlink r:id="rId44" ref="G23"/>
    <hyperlink r:id="rId45" ref="F24"/>
    <hyperlink r:id="rId46" ref="G24"/>
    <hyperlink r:id="rId47" ref="F25"/>
    <hyperlink r:id="rId48" ref="G25"/>
    <hyperlink r:id="rId49" ref="F26"/>
    <hyperlink r:id="rId50" ref="G26"/>
    <hyperlink r:id="rId51" ref="F27"/>
    <hyperlink r:id="rId52" ref="G27"/>
    <hyperlink r:id="rId53" ref="F28"/>
    <hyperlink r:id="rId54" ref="G28"/>
    <hyperlink r:id="rId55" ref="F29"/>
    <hyperlink r:id="rId56" ref="G29"/>
    <hyperlink r:id="rId57" ref="F30"/>
    <hyperlink r:id="rId58" ref="G30"/>
    <hyperlink r:id="rId59" ref="F31"/>
    <hyperlink r:id="rId60" ref="G31"/>
    <hyperlink r:id="rId61" ref="F32"/>
    <hyperlink r:id="rId62" ref="G32"/>
    <hyperlink r:id="rId63" ref="F33"/>
    <hyperlink r:id="rId64" ref="G33"/>
    <hyperlink r:id="rId65" ref="F34"/>
    <hyperlink r:id="rId66" ref="G34"/>
    <hyperlink r:id="rId67" ref="F35"/>
    <hyperlink r:id="rId68" ref="G35"/>
    <hyperlink r:id="rId69" ref="F36"/>
    <hyperlink r:id="rId70" ref="G36"/>
    <hyperlink r:id="rId71" ref="G37"/>
    <hyperlink r:id="rId72" ref="F38"/>
    <hyperlink r:id="rId73" ref="G38"/>
    <hyperlink r:id="rId74" ref="F39"/>
    <hyperlink r:id="rId75" ref="G39"/>
    <hyperlink r:id="rId76" ref="F40"/>
    <hyperlink r:id="rId77" ref="G40"/>
    <hyperlink r:id="rId78" ref="F41"/>
    <hyperlink r:id="rId79" ref="G41"/>
    <hyperlink r:id="rId80" ref="F42"/>
    <hyperlink r:id="rId81" ref="G42"/>
    <hyperlink r:id="rId82" ref="F43"/>
    <hyperlink r:id="rId83" ref="G43"/>
    <hyperlink r:id="rId84" ref="G44"/>
    <hyperlink r:id="rId85" ref="F45"/>
    <hyperlink r:id="rId86" ref="G45"/>
    <hyperlink r:id="rId87" ref="F46"/>
    <hyperlink r:id="rId88" ref="G46"/>
    <hyperlink r:id="rId89" ref="F47"/>
    <hyperlink r:id="rId90" ref="G47"/>
    <hyperlink r:id="rId91" ref="F48"/>
    <hyperlink r:id="rId92" ref="G48"/>
    <hyperlink r:id="rId93" ref="F49"/>
    <hyperlink r:id="rId94" ref="G49"/>
    <hyperlink r:id="rId95" ref="F50"/>
    <hyperlink r:id="rId96" ref="G50"/>
    <hyperlink r:id="rId97" ref="F51"/>
    <hyperlink r:id="rId98" ref="G51"/>
    <hyperlink r:id="rId99" ref="F52"/>
    <hyperlink r:id="rId100" ref="G52"/>
    <hyperlink r:id="rId101" ref="F53"/>
    <hyperlink r:id="rId102" ref="G53"/>
    <hyperlink r:id="rId103" ref="F54"/>
    <hyperlink r:id="rId104" ref="G54"/>
    <hyperlink r:id="rId105" ref="G55"/>
    <hyperlink r:id="rId106" ref="F56"/>
    <hyperlink r:id="rId107" ref="G56"/>
    <hyperlink r:id="rId108" ref="F57"/>
    <hyperlink r:id="rId109" ref="G57"/>
    <hyperlink r:id="rId110" ref="F58"/>
    <hyperlink r:id="rId111" ref="G58"/>
    <hyperlink r:id="rId112" ref="F59"/>
    <hyperlink r:id="rId113" ref="G59"/>
    <hyperlink r:id="rId114" ref="F60"/>
    <hyperlink r:id="rId115" ref="G60"/>
    <hyperlink r:id="rId116" ref="F61"/>
    <hyperlink r:id="rId117" ref="G61"/>
    <hyperlink r:id="rId118" ref="F62"/>
    <hyperlink r:id="rId119" ref="G62"/>
    <hyperlink r:id="rId120" ref="F63"/>
    <hyperlink r:id="rId121" ref="G63"/>
    <hyperlink r:id="rId122" ref="F64"/>
    <hyperlink r:id="rId123" ref="G64"/>
    <hyperlink r:id="rId124" ref="F65"/>
    <hyperlink r:id="rId125" ref="G65"/>
    <hyperlink r:id="rId126" ref="F66"/>
    <hyperlink r:id="rId127" ref="G66"/>
    <hyperlink r:id="rId128" ref="G67"/>
    <hyperlink r:id="rId129" ref="F68"/>
    <hyperlink r:id="rId130" ref="G68"/>
    <hyperlink r:id="rId131" ref="F69"/>
    <hyperlink r:id="rId132" ref="G69"/>
    <hyperlink r:id="rId133" ref="F70"/>
    <hyperlink r:id="rId134" ref="G70"/>
    <hyperlink r:id="rId135" ref="F71"/>
    <hyperlink r:id="rId136" ref="G71"/>
    <hyperlink r:id="rId137" ref="F72"/>
    <hyperlink r:id="rId138" ref="G72"/>
    <hyperlink r:id="rId139" ref="F73"/>
    <hyperlink r:id="rId140" ref="G73"/>
    <hyperlink r:id="rId141" ref="F74"/>
    <hyperlink r:id="rId142" ref="G74"/>
    <hyperlink r:id="rId143" ref="F75"/>
    <hyperlink r:id="rId144" ref="G75"/>
    <hyperlink r:id="rId145" ref="F76"/>
    <hyperlink r:id="rId146" ref="G76"/>
    <hyperlink r:id="rId147" ref="F77"/>
    <hyperlink r:id="rId148" ref="G77"/>
    <hyperlink r:id="rId149" ref="F78"/>
    <hyperlink r:id="rId150" ref="G78"/>
    <hyperlink r:id="rId151" ref="F79"/>
    <hyperlink r:id="rId152" ref="G79"/>
    <hyperlink r:id="rId153" ref="F80"/>
    <hyperlink r:id="rId154" ref="G80"/>
    <hyperlink r:id="rId155" ref="F81"/>
    <hyperlink r:id="rId156" ref="G81"/>
    <hyperlink r:id="rId157" ref="F82"/>
    <hyperlink r:id="rId158" ref="G82"/>
    <hyperlink r:id="rId159" ref="F83"/>
    <hyperlink r:id="rId160" ref="G83"/>
    <hyperlink r:id="rId161" ref="F84"/>
    <hyperlink r:id="rId162" ref="G84"/>
    <hyperlink r:id="rId163" ref="F85"/>
    <hyperlink r:id="rId164" ref="G85"/>
    <hyperlink r:id="rId165" ref="F86"/>
    <hyperlink r:id="rId166" ref="G86"/>
    <hyperlink r:id="rId167" ref="F87"/>
    <hyperlink r:id="rId168" ref="G87"/>
    <hyperlink r:id="rId169" ref="F88"/>
    <hyperlink r:id="rId170" ref="G88"/>
    <hyperlink r:id="rId171" ref="F89"/>
    <hyperlink r:id="rId172" ref="G89"/>
    <hyperlink r:id="rId173" ref="F90"/>
    <hyperlink r:id="rId174" ref="G90"/>
    <hyperlink r:id="rId175" ref="F91"/>
    <hyperlink r:id="rId176" ref="G91"/>
    <hyperlink r:id="rId177" ref="F92"/>
    <hyperlink r:id="rId178" ref="G92"/>
    <hyperlink r:id="rId179" ref="F93"/>
    <hyperlink r:id="rId180" ref="G93"/>
    <hyperlink r:id="rId181" ref="F94"/>
    <hyperlink r:id="rId182" ref="G94"/>
    <hyperlink r:id="rId183" ref="F95"/>
    <hyperlink r:id="rId184" ref="G95"/>
    <hyperlink r:id="rId185" ref="F96"/>
    <hyperlink r:id="rId186" ref="G96"/>
    <hyperlink r:id="rId187" ref="F97"/>
    <hyperlink r:id="rId188" ref="G97"/>
    <hyperlink r:id="rId189" ref="F98"/>
    <hyperlink r:id="rId190" ref="G98"/>
    <hyperlink r:id="rId191" ref="F99"/>
    <hyperlink r:id="rId192" ref="G99"/>
    <hyperlink r:id="rId193" ref="F100"/>
    <hyperlink r:id="rId194" ref="G100"/>
    <hyperlink r:id="rId195" ref="F101"/>
    <hyperlink r:id="rId196" ref="G101"/>
    <hyperlink r:id="rId197" ref="F102"/>
    <hyperlink r:id="rId198" ref="G102"/>
    <hyperlink r:id="rId199" ref="F103"/>
    <hyperlink r:id="rId200" ref="G103"/>
    <hyperlink r:id="rId201" ref="F104"/>
    <hyperlink r:id="rId202" ref="G104"/>
    <hyperlink r:id="rId203" ref="F105"/>
    <hyperlink r:id="rId204" ref="G105"/>
    <hyperlink r:id="rId205" ref="F106"/>
    <hyperlink r:id="rId206" ref="G106"/>
    <hyperlink r:id="rId207" ref="F107"/>
    <hyperlink r:id="rId208" ref="G107"/>
    <hyperlink r:id="rId209" ref="F108"/>
    <hyperlink r:id="rId210" ref="G108"/>
    <hyperlink r:id="rId211" ref="F109"/>
    <hyperlink r:id="rId212" ref="G109"/>
    <hyperlink r:id="rId213" ref="F110"/>
    <hyperlink r:id="rId214" ref="G110"/>
    <hyperlink r:id="rId215" ref="F111"/>
    <hyperlink r:id="rId216" ref="G111"/>
    <hyperlink r:id="rId217" ref="F112"/>
    <hyperlink r:id="rId218" ref="G112"/>
    <hyperlink r:id="rId219" ref="F113"/>
    <hyperlink r:id="rId220" ref="G113"/>
    <hyperlink r:id="rId221" ref="F114"/>
    <hyperlink r:id="rId222" ref="G114"/>
    <hyperlink r:id="rId223" ref="F115"/>
    <hyperlink r:id="rId224" ref="G115"/>
    <hyperlink r:id="rId225" ref="F116"/>
    <hyperlink r:id="rId226" ref="G116"/>
    <hyperlink r:id="rId227" ref="F117"/>
    <hyperlink r:id="rId228" ref="G117"/>
    <hyperlink r:id="rId229" ref="F118"/>
    <hyperlink r:id="rId230" ref="G118"/>
    <hyperlink r:id="rId231" ref="F119"/>
    <hyperlink r:id="rId232" ref="G119"/>
    <hyperlink r:id="rId233" ref="F120"/>
    <hyperlink r:id="rId234" ref="G120"/>
    <hyperlink r:id="rId235" ref="G121"/>
    <hyperlink r:id="rId236" ref="F122"/>
    <hyperlink r:id="rId237" ref="G122"/>
    <hyperlink r:id="rId238" ref="F123"/>
    <hyperlink r:id="rId239" ref="G123"/>
    <hyperlink r:id="rId240" ref="F124"/>
    <hyperlink r:id="rId241" ref="G124"/>
    <hyperlink r:id="rId242" ref="F125"/>
    <hyperlink r:id="rId243" ref="G125"/>
    <hyperlink r:id="rId244" ref="F126"/>
    <hyperlink r:id="rId245" ref="G126"/>
    <hyperlink r:id="rId246" ref="F127"/>
    <hyperlink r:id="rId247" ref="G127"/>
    <hyperlink r:id="rId248" ref="F128"/>
    <hyperlink r:id="rId249" ref="G128"/>
    <hyperlink r:id="rId250" ref="F129"/>
    <hyperlink r:id="rId251" ref="G129"/>
    <hyperlink r:id="rId252" ref="F130"/>
    <hyperlink r:id="rId253" ref="G130"/>
    <hyperlink r:id="rId254" ref="F131"/>
    <hyperlink r:id="rId255" ref="G131"/>
    <hyperlink r:id="rId256" ref="F132"/>
    <hyperlink r:id="rId257" ref="G132"/>
    <hyperlink r:id="rId258" ref="F133"/>
    <hyperlink r:id="rId259" ref="G133"/>
    <hyperlink r:id="rId260" ref="F134"/>
    <hyperlink r:id="rId261" ref="G134"/>
    <hyperlink r:id="rId262" ref="G135"/>
    <hyperlink r:id="rId263" ref="F136"/>
    <hyperlink r:id="rId264" ref="G136"/>
    <hyperlink r:id="rId265" ref="F137"/>
    <hyperlink r:id="rId266" ref="G137"/>
    <hyperlink r:id="rId267" ref="F138"/>
    <hyperlink r:id="rId268" ref="G138"/>
    <hyperlink r:id="rId269" ref="F139"/>
    <hyperlink r:id="rId270" ref="G139"/>
    <hyperlink r:id="rId271" ref="F140"/>
    <hyperlink r:id="rId272" ref="G140"/>
    <hyperlink r:id="rId273" ref="F141"/>
    <hyperlink r:id="rId274" ref="G141"/>
    <hyperlink r:id="rId275" ref="F142"/>
    <hyperlink r:id="rId276" ref="G142"/>
    <hyperlink r:id="rId277" ref="F143"/>
    <hyperlink r:id="rId278" ref="G143"/>
    <hyperlink r:id="rId279" ref="F144"/>
    <hyperlink r:id="rId280" ref="G144"/>
    <hyperlink r:id="rId281" ref="F145"/>
    <hyperlink r:id="rId282" ref="G145"/>
    <hyperlink r:id="rId283" ref="G146"/>
    <hyperlink r:id="rId284" ref="F147"/>
    <hyperlink r:id="rId285" ref="G147"/>
    <hyperlink r:id="rId286" ref="F148"/>
    <hyperlink r:id="rId287" ref="G148"/>
    <hyperlink r:id="rId288" ref="F149"/>
    <hyperlink r:id="rId289" ref="G149"/>
    <hyperlink r:id="rId290" ref="F150"/>
    <hyperlink r:id="rId291" ref="G150"/>
    <hyperlink r:id="rId292" ref="F151"/>
    <hyperlink r:id="rId293" ref="G151"/>
    <hyperlink r:id="rId294" ref="F152"/>
    <hyperlink r:id="rId295" ref="G152"/>
    <hyperlink r:id="rId296" ref="F153"/>
    <hyperlink r:id="rId297" ref="G153"/>
    <hyperlink r:id="rId298" ref="F154"/>
    <hyperlink r:id="rId299" ref="G154"/>
    <hyperlink r:id="rId300" ref="F155"/>
    <hyperlink r:id="rId301" ref="G155"/>
    <hyperlink r:id="rId302" ref="F156"/>
    <hyperlink r:id="rId303" ref="G156"/>
    <hyperlink r:id="rId304" ref="F157"/>
    <hyperlink r:id="rId305" ref="G157"/>
    <hyperlink r:id="rId306" ref="F158"/>
    <hyperlink r:id="rId307" ref="G158"/>
    <hyperlink r:id="rId308" ref="F159"/>
    <hyperlink r:id="rId309" ref="G159"/>
    <hyperlink r:id="rId310" ref="F160"/>
    <hyperlink r:id="rId311" ref="G160"/>
    <hyperlink r:id="rId312" ref="F161"/>
    <hyperlink r:id="rId313" ref="G161"/>
    <hyperlink r:id="rId314" ref="F162"/>
    <hyperlink r:id="rId315" ref="G162"/>
    <hyperlink r:id="rId316" ref="F163"/>
    <hyperlink r:id="rId317" ref="G163"/>
    <hyperlink r:id="rId318" ref="F164"/>
    <hyperlink r:id="rId319" ref="G164"/>
    <hyperlink r:id="rId320" ref="F165"/>
    <hyperlink r:id="rId321" ref="G165"/>
    <hyperlink r:id="rId322" ref="F166"/>
    <hyperlink r:id="rId323" ref="G166"/>
    <hyperlink r:id="rId324" ref="F167"/>
    <hyperlink r:id="rId325" ref="G167"/>
    <hyperlink r:id="rId326" ref="F168"/>
    <hyperlink r:id="rId327" ref="G168"/>
    <hyperlink r:id="rId328" ref="F169"/>
    <hyperlink r:id="rId329" ref="G169"/>
    <hyperlink r:id="rId330" ref="F170"/>
    <hyperlink r:id="rId331" ref="G170"/>
    <hyperlink r:id="rId332" ref="F171"/>
    <hyperlink r:id="rId333" ref="G171"/>
    <hyperlink r:id="rId334" ref="F172"/>
    <hyperlink r:id="rId335" ref="G172"/>
    <hyperlink r:id="rId336" ref="F173"/>
    <hyperlink r:id="rId337" ref="G173"/>
    <hyperlink r:id="rId338" ref="F174"/>
    <hyperlink r:id="rId339" ref="G174"/>
    <hyperlink r:id="rId340" ref="F175"/>
    <hyperlink r:id="rId341" ref="G175"/>
    <hyperlink r:id="rId342" ref="F176"/>
    <hyperlink r:id="rId343" ref="G176"/>
    <hyperlink r:id="rId344" ref="F177"/>
    <hyperlink r:id="rId345" ref="G177"/>
    <hyperlink r:id="rId346" ref="F178"/>
    <hyperlink r:id="rId347" ref="G178"/>
    <hyperlink r:id="rId348" ref="F179"/>
    <hyperlink r:id="rId349" ref="G179"/>
    <hyperlink r:id="rId350" ref="F180"/>
    <hyperlink r:id="rId351" ref="G180"/>
    <hyperlink r:id="rId352" ref="G181"/>
    <hyperlink r:id="rId353" ref="F182"/>
    <hyperlink r:id="rId354" ref="G182"/>
    <hyperlink r:id="rId355" ref="F183"/>
    <hyperlink r:id="rId356" ref="G183"/>
    <hyperlink r:id="rId357" ref="F184"/>
    <hyperlink r:id="rId358" ref="G184"/>
    <hyperlink r:id="rId359" ref="G185"/>
    <hyperlink r:id="rId360" ref="F186"/>
    <hyperlink r:id="rId361" ref="G186"/>
    <hyperlink r:id="rId362" ref="F187"/>
    <hyperlink r:id="rId363" ref="G187"/>
    <hyperlink r:id="rId364" ref="F188"/>
    <hyperlink r:id="rId365" ref="G188"/>
    <hyperlink r:id="rId366" ref="F189"/>
    <hyperlink r:id="rId367" ref="G189"/>
    <hyperlink r:id="rId368" ref="G190"/>
    <hyperlink r:id="rId369" ref="F191"/>
    <hyperlink r:id="rId370" ref="G191"/>
    <hyperlink r:id="rId371" ref="F192"/>
    <hyperlink r:id="rId372" ref="G192"/>
    <hyperlink r:id="rId373" ref="F193"/>
    <hyperlink r:id="rId374" ref="G193"/>
    <hyperlink r:id="rId375" ref="F194"/>
    <hyperlink r:id="rId376" ref="G194"/>
    <hyperlink r:id="rId377" ref="F195"/>
    <hyperlink r:id="rId378" ref="G195"/>
    <hyperlink r:id="rId379" ref="F196"/>
    <hyperlink r:id="rId380" ref="G196"/>
    <hyperlink r:id="rId381" ref="F197"/>
    <hyperlink r:id="rId382" ref="G197"/>
    <hyperlink r:id="rId383" ref="F198"/>
    <hyperlink r:id="rId384" ref="G198"/>
    <hyperlink r:id="rId385" ref="F199"/>
    <hyperlink r:id="rId386" ref="G199"/>
    <hyperlink r:id="rId387" ref="F200"/>
    <hyperlink r:id="rId388" ref="G200"/>
    <hyperlink r:id="rId389" ref="G201"/>
    <hyperlink r:id="rId390" ref="F202"/>
    <hyperlink r:id="rId391" ref="G202"/>
    <hyperlink r:id="rId392" ref="F203"/>
    <hyperlink r:id="rId393" ref="G203"/>
    <hyperlink r:id="rId394" ref="F204"/>
    <hyperlink r:id="rId395" ref="G204"/>
    <hyperlink r:id="rId396" ref="G205"/>
    <hyperlink r:id="rId397" ref="F206"/>
    <hyperlink r:id="rId398" ref="G206"/>
    <hyperlink r:id="rId399" ref="F207"/>
    <hyperlink r:id="rId400" ref="G207"/>
    <hyperlink r:id="rId401" ref="F208"/>
    <hyperlink r:id="rId402" ref="G208"/>
    <hyperlink r:id="rId403" ref="F209"/>
    <hyperlink r:id="rId404" ref="G209"/>
    <hyperlink r:id="rId405" ref="F210"/>
    <hyperlink r:id="rId406" ref="G210"/>
    <hyperlink r:id="rId407" ref="F211"/>
    <hyperlink r:id="rId408" ref="G211"/>
    <hyperlink r:id="rId409" ref="F212"/>
    <hyperlink r:id="rId410" ref="G212"/>
    <hyperlink r:id="rId411" ref="F213"/>
    <hyperlink r:id="rId412" ref="G213"/>
    <hyperlink r:id="rId413" ref="F214"/>
    <hyperlink r:id="rId414" ref="G214"/>
    <hyperlink r:id="rId415" ref="F215"/>
    <hyperlink r:id="rId416" ref="G215"/>
    <hyperlink r:id="rId417" ref="F216"/>
    <hyperlink r:id="rId418" ref="G216"/>
    <hyperlink r:id="rId419" ref="F217"/>
    <hyperlink r:id="rId420" ref="G217"/>
    <hyperlink r:id="rId421" ref="F218"/>
    <hyperlink r:id="rId422" ref="G218"/>
    <hyperlink r:id="rId423" ref="F219"/>
    <hyperlink r:id="rId424" ref="G219"/>
    <hyperlink r:id="rId425" ref="F220"/>
    <hyperlink r:id="rId426" ref="G220"/>
    <hyperlink r:id="rId427" ref="F221"/>
    <hyperlink r:id="rId428" ref="G221"/>
    <hyperlink r:id="rId429" ref="F222"/>
    <hyperlink r:id="rId430" ref="G222"/>
    <hyperlink r:id="rId431" ref="F223"/>
    <hyperlink r:id="rId432" ref="G223"/>
    <hyperlink r:id="rId433" ref="F224"/>
    <hyperlink r:id="rId434" ref="G224"/>
    <hyperlink r:id="rId435" ref="F225"/>
    <hyperlink r:id="rId436" ref="G225"/>
    <hyperlink r:id="rId437" ref="F226"/>
    <hyperlink r:id="rId438" ref="G226"/>
    <hyperlink r:id="rId439" ref="F227"/>
    <hyperlink r:id="rId440" ref="G227"/>
    <hyperlink r:id="rId441" ref="F228"/>
    <hyperlink r:id="rId442" ref="G228"/>
    <hyperlink r:id="rId443" ref="F229"/>
    <hyperlink r:id="rId444" ref="G229"/>
    <hyperlink r:id="rId445" ref="F230"/>
    <hyperlink r:id="rId446" ref="G230"/>
    <hyperlink r:id="rId447" ref="F231"/>
    <hyperlink r:id="rId448" ref="G231"/>
    <hyperlink r:id="rId449" ref="F232"/>
    <hyperlink r:id="rId450" ref="G232"/>
    <hyperlink r:id="rId451" ref="F233"/>
    <hyperlink r:id="rId452" ref="G233"/>
    <hyperlink r:id="rId453" ref="F234"/>
    <hyperlink r:id="rId454" ref="G234"/>
    <hyperlink r:id="rId455" ref="F235"/>
    <hyperlink r:id="rId456" ref="G235"/>
    <hyperlink r:id="rId457" ref="F236"/>
    <hyperlink r:id="rId458" ref="G236"/>
    <hyperlink r:id="rId459" ref="F237"/>
    <hyperlink r:id="rId460" ref="G237"/>
    <hyperlink r:id="rId461" ref="G238"/>
    <hyperlink r:id="rId462" ref="F239"/>
    <hyperlink r:id="rId463" ref="G239"/>
    <hyperlink r:id="rId464" ref="F240"/>
    <hyperlink r:id="rId465" ref="G240"/>
    <hyperlink r:id="rId466" ref="F241"/>
    <hyperlink r:id="rId467" ref="G241"/>
    <hyperlink r:id="rId468" ref="F242"/>
    <hyperlink r:id="rId469" ref="G242"/>
    <hyperlink r:id="rId470" ref="F243"/>
    <hyperlink r:id="rId471" ref="G243"/>
    <hyperlink r:id="rId472" ref="F244"/>
    <hyperlink r:id="rId473" ref="G244"/>
    <hyperlink r:id="rId474" ref="F245"/>
    <hyperlink r:id="rId475" ref="G245"/>
    <hyperlink r:id="rId476" ref="F246"/>
    <hyperlink r:id="rId477" ref="G246"/>
    <hyperlink r:id="rId478" ref="F247"/>
    <hyperlink r:id="rId479" ref="G247"/>
    <hyperlink r:id="rId480" ref="F248"/>
    <hyperlink r:id="rId481" ref="G248"/>
    <hyperlink r:id="rId482" ref="F249"/>
    <hyperlink r:id="rId483" ref="G249"/>
    <hyperlink r:id="rId484" ref="F250"/>
    <hyperlink r:id="rId485" ref="G250"/>
    <hyperlink r:id="rId486" ref="F251"/>
    <hyperlink r:id="rId487" ref="G251"/>
    <hyperlink r:id="rId488" ref="F252"/>
    <hyperlink r:id="rId489" ref="G252"/>
    <hyperlink r:id="rId490" ref="F253"/>
    <hyperlink r:id="rId491" ref="G253"/>
    <hyperlink r:id="rId492" ref="G254"/>
    <hyperlink r:id="rId493" ref="F255"/>
    <hyperlink r:id="rId494" ref="G255"/>
    <hyperlink r:id="rId495" ref="F256"/>
    <hyperlink r:id="rId496" ref="G256"/>
    <hyperlink r:id="rId497" ref="F257"/>
    <hyperlink r:id="rId498" ref="G257"/>
    <hyperlink r:id="rId499" ref="F258"/>
    <hyperlink r:id="rId500" ref="G258"/>
    <hyperlink r:id="rId501" ref="F259"/>
    <hyperlink r:id="rId502" ref="G259"/>
    <hyperlink r:id="rId503" ref="F260"/>
    <hyperlink r:id="rId504" ref="G260"/>
    <hyperlink r:id="rId505" ref="G261"/>
    <hyperlink r:id="rId506" ref="G262"/>
    <hyperlink r:id="rId507" ref="F263"/>
    <hyperlink r:id="rId508" ref="G263"/>
    <hyperlink r:id="rId509" ref="F264"/>
    <hyperlink r:id="rId510" ref="G264"/>
    <hyperlink r:id="rId511" ref="F265"/>
    <hyperlink r:id="rId512" ref="G265"/>
    <hyperlink r:id="rId513" ref="F266"/>
    <hyperlink r:id="rId514" ref="G266"/>
    <hyperlink r:id="rId515" ref="F267"/>
    <hyperlink r:id="rId516" ref="G267"/>
    <hyperlink r:id="rId517" ref="F268"/>
    <hyperlink r:id="rId518" ref="G268"/>
    <hyperlink r:id="rId519" ref="F269"/>
    <hyperlink r:id="rId520" ref="G269"/>
    <hyperlink r:id="rId521" ref="F270"/>
    <hyperlink r:id="rId522" ref="G270"/>
    <hyperlink r:id="rId523" ref="F271"/>
    <hyperlink r:id="rId524" ref="G271"/>
    <hyperlink r:id="rId525" ref="F272"/>
    <hyperlink r:id="rId526" ref="G272"/>
    <hyperlink r:id="rId527" ref="F273"/>
    <hyperlink r:id="rId528" ref="G273"/>
    <hyperlink r:id="rId529" ref="G274"/>
    <hyperlink r:id="rId530" ref="F275"/>
    <hyperlink r:id="rId531" ref="G275"/>
    <hyperlink r:id="rId532" ref="F276"/>
    <hyperlink r:id="rId533" ref="G276"/>
    <hyperlink r:id="rId534" ref="F277"/>
    <hyperlink r:id="rId535" ref="G277"/>
    <hyperlink r:id="rId536" ref="F278"/>
    <hyperlink r:id="rId537" ref="G278"/>
    <hyperlink r:id="rId538" ref="F279"/>
    <hyperlink r:id="rId539" ref="G279"/>
    <hyperlink r:id="rId540" ref="F280"/>
    <hyperlink r:id="rId541" ref="G280"/>
    <hyperlink r:id="rId542" ref="F281"/>
    <hyperlink r:id="rId543" ref="G281"/>
    <hyperlink r:id="rId544" ref="F282"/>
    <hyperlink r:id="rId545" ref="G282"/>
    <hyperlink r:id="rId546" ref="F283"/>
    <hyperlink r:id="rId547" ref="G283"/>
    <hyperlink r:id="rId548" ref="F284"/>
    <hyperlink r:id="rId549" ref="G284"/>
    <hyperlink r:id="rId550" ref="F285"/>
    <hyperlink r:id="rId551" ref="G285"/>
    <hyperlink r:id="rId552" ref="F286"/>
    <hyperlink r:id="rId553" ref="G286"/>
    <hyperlink r:id="rId554" ref="F287"/>
    <hyperlink r:id="rId555" ref="G287"/>
    <hyperlink r:id="rId556" ref="F288"/>
    <hyperlink r:id="rId557" ref="G288"/>
    <hyperlink r:id="rId558" ref="F289"/>
    <hyperlink r:id="rId559" ref="G289"/>
    <hyperlink r:id="rId560" ref="F290"/>
    <hyperlink r:id="rId561" ref="G290"/>
    <hyperlink r:id="rId562" ref="F291"/>
    <hyperlink r:id="rId563" ref="G291"/>
    <hyperlink r:id="rId564" ref="F292"/>
    <hyperlink r:id="rId565" ref="G292"/>
    <hyperlink r:id="rId566" ref="F293"/>
    <hyperlink r:id="rId567" ref="G293"/>
    <hyperlink r:id="rId568" ref="F294"/>
    <hyperlink r:id="rId569" ref="G294"/>
    <hyperlink r:id="rId570" ref="F295"/>
    <hyperlink r:id="rId571" ref="G295"/>
    <hyperlink r:id="rId572" ref="F296"/>
    <hyperlink r:id="rId573" ref="G296"/>
    <hyperlink r:id="rId574" ref="F297"/>
    <hyperlink r:id="rId575" ref="G297"/>
    <hyperlink r:id="rId576" ref="F298"/>
    <hyperlink r:id="rId577" ref="G298"/>
    <hyperlink r:id="rId578" ref="F299"/>
    <hyperlink r:id="rId579" ref="G299"/>
    <hyperlink r:id="rId580" ref="F300"/>
    <hyperlink r:id="rId581" ref="G300"/>
    <hyperlink r:id="rId582" ref="F301"/>
    <hyperlink r:id="rId583" ref="G301"/>
    <hyperlink r:id="rId584" ref="F302"/>
    <hyperlink r:id="rId585" ref="G302"/>
    <hyperlink r:id="rId586" ref="F303"/>
    <hyperlink r:id="rId587" ref="G303"/>
    <hyperlink r:id="rId588" ref="F304"/>
    <hyperlink r:id="rId589" ref="G304"/>
    <hyperlink r:id="rId590" ref="F305"/>
    <hyperlink r:id="rId591" ref="G305"/>
    <hyperlink r:id="rId592" ref="F306"/>
    <hyperlink r:id="rId593" ref="G306"/>
    <hyperlink r:id="rId594" ref="F307"/>
    <hyperlink r:id="rId595" ref="G307"/>
    <hyperlink r:id="rId596" ref="F308"/>
    <hyperlink r:id="rId597" ref="G308"/>
    <hyperlink r:id="rId598" ref="F309"/>
    <hyperlink r:id="rId599" ref="G309"/>
    <hyperlink r:id="rId600" ref="F310"/>
    <hyperlink r:id="rId601" ref="G310"/>
    <hyperlink r:id="rId602" ref="F311"/>
    <hyperlink r:id="rId603" ref="G311"/>
    <hyperlink r:id="rId604" ref="F312"/>
    <hyperlink r:id="rId605" ref="G312"/>
    <hyperlink r:id="rId606" ref="F313"/>
    <hyperlink r:id="rId607" ref="G313"/>
    <hyperlink r:id="rId608" ref="F314"/>
    <hyperlink r:id="rId609" ref="G314"/>
    <hyperlink r:id="rId610" ref="G315"/>
    <hyperlink r:id="rId611" ref="F316"/>
    <hyperlink r:id="rId612" ref="G316"/>
    <hyperlink r:id="rId613" ref="F317"/>
    <hyperlink r:id="rId614" ref="G317"/>
    <hyperlink r:id="rId615" ref="F318"/>
    <hyperlink r:id="rId616" ref="G318"/>
    <hyperlink r:id="rId617" ref="F319"/>
    <hyperlink r:id="rId618" ref="G319"/>
    <hyperlink r:id="rId619" ref="F320"/>
    <hyperlink r:id="rId620" ref="G320"/>
    <hyperlink r:id="rId621" ref="F321"/>
    <hyperlink r:id="rId622" ref="G321"/>
    <hyperlink r:id="rId623" ref="F322"/>
    <hyperlink r:id="rId624" ref="G322"/>
    <hyperlink r:id="rId625" ref="F323"/>
    <hyperlink r:id="rId626" ref="G323"/>
    <hyperlink r:id="rId627" ref="F324"/>
    <hyperlink r:id="rId628" ref="G324"/>
    <hyperlink r:id="rId629" ref="F325"/>
    <hyperlink r:id="rId630" ref="G325"/>
    <hyperlink r:id="rId631" ref="F326"/>
    <hyperlink r:id="rId632" ref="G326"/>
    <hyperlink r:id="rId633" ref="F327"/>
    <hyperlink r:id="rId634" ref="G327"/>
    <hyperlink r:id="rId635" ref="F328"/>
    <hyperlink r:id="rId636" ref="G328"/>
    <hyperlink r:id="rId637" ref="F329"/>
    <hyperlink r:id="rId638" ref="G329"/>
    <hyperlink r:id="rId639" ref="F330"/>
    <hyperlink r:id="rId640" ref="G330"/>
    <hyperlink r:id="rId641" ref="F331"/>
    <hyperlink r:id="rId642" ref="G331"/>
    <hyperlink r:id="rId643" ref="F332"/>
    <hyperlink r:id="rId644" ref="G332"/>
    <hyperlink r:id="rId645" ref="F333"/>
    <hyperlink r:id="rId646" ref="G333"/>
    <hyperlink r:id="rId647" ref="F334"/>
    <hyperlink r:id="rId648" ref="G334"/>
    <hyperlink r:id="rId649" ref="F335"/>
    <hyperlink r:id="rId650" ref="G335"/>
    <hyperlink r:id="rId651" ref="F336"/>
    <hyperlink r:id="rId652" ref="G336"/>
    <hyperlink r:id="rId653" ref="F337"/>
    <hyperlink r:id="rId654" ref="G337"/>
    <hyperlink r:id="rId655" ref="F338"/>
    <hyperlink r:id="rId656" ref="G338"/>
    <hyperlink r:id="rId657" ref="F339"/>
    <hyperlink r:id="rId658" ref="G339"/>
    <hyperlink r:id="rId659" ref="F340"/>
    <hyperlink r:id="rId660" ref="G340"/>
    <hyperlink r:id="rId661" ref="G341"/>
    <hyperlink r:id="rId662" ref="F342"/>
    <hyperlink r:id="rId663" ref="G342"/>
    <hyperlink r:id="rId664" ref="F343"/>
    <hyperlink r:id="rId665" ref="G343"/>
    <hyperlink r:id="rId666" ref="F344"/>
    <hyperlink r:id="rId667" ref="G344"/>
    <hyperlink r:id="rId668" ref="F345"/>
    <hyperlink r:id="rId669" ref="G345"/>
    <hyperlink r:id="rId670" ref="F346"/>
    <hyperlink r:id="rId671" ref="G346"/>
    <hyperlink r:id="rId672" ref="F347"/>
    <hyperlink r:id="rId673" ref="G347"/>
    <hyperlink r:id="rId674" ref="F348"/>
    <hyperlink r:id="rId675" ref="G348"/>
    <hyperlink r:id="rId676" ref="F349"/>
    <hyperlink r:id="rId677" ref="G349"/>
    <hyperlink r:id="rId678" ref="F350"/>
    <hyperlink r:id="rId679" ref="G350"/>
    <hyperlink r:id="rId680" ref="F351"/>
    <hyperlink r:id="rId681" ref="G351"/>
    <hyperlink r:id="rId682" ref="F352"/>
    <hyperlink r:id="rId683" ref="G352"/>
    <hyperlink r:id="rId684" ref="F353"/>
    <hyperlink r:id="rId685" ref="G353"/>
    <hyperlink r:id="rId686" ref="F354"/>
    <hyperlink r:id="rId687" ref="G354"/>
    <hyperlink r:id="rId688" ref="F355"/>
    <hyperlink r:id="rId689" ref="G355"/>
    <hyperlink r:id="rId690" ref="F356"/>
    <hyperlink r:id="rId691" ref="G356"/>
    <hyperlink r:id="rId692" ref="F357"/>
    <hyperlink r:id="rId693" ref="G357"/>
    <hyperlink r:id="rId694" ref="F358"/>
    <hyperlink r:id="rId695" ref="G358"/>
    <hyperlink r:id="rId696" ref="F359"/>
    <hyperlink r:id="rId697" ref="G359"/>
    <hyperlink r:id="rId698" ref="F360"/>
    <hyperlink r:id="rId699" ref="G360"/>
    <hyperlink r:id="rId700" ref="F361"/>
    <hyperlink r:id="rId701" ref="G361"/>
    <hyperlink r:id="rId702" ref="F362"/>
    <hyperlink r:id="rId703" ref="G362"/>
    <hyperlink r:id="rId704" ref="F363"/>
    <hyperlink r:id="rId705" ref="G363"/>
    <hyperlink r:id="rId706" ref="F364"/>
    <hyperlink r:id="rId707" ref="G364"/>
    <hyperlink r:id="rId708" ref="F365"/>
    <hyperlink r:id="rId709" ref="G365"/>
    <hyperlink r:id="rId710" ref="F366"/>
    <hyperlink r:id="rId711" ref="G366"/>
    <hyperlink r:id="rId712" ref="F367"/>
    <hyperlink r:id="rId713" ref="G367"/>
    <hyperlink r:id="rId714" ref="F368"/>
    <hyperlink r:id="rId715" ref="G368"/>
    <hyperlink r:id="rId716" ref="F369"/>
    <hyperlink r:id="rId717" ref="G369"/>
    <hyperlink r:id="rId718" ref="F370"/>
    <hyperlink r:id="rId719" ref="G370"/>
    <hyperlink r:id="rId720" ref="F371"/>
    <hyperlink r:id="rId721" ref="G371"/>
    <hyperlink r:id="rId722" ref="F372"/>
    <hyperlink r:id="rId723" ref="G372"/>
    <hyperlink r:id="rId724" ref="F373"/>
    <hyperlink r:id="rId725" ref="G373"/>
    <hyperlink r:id="rId726" ref="F374"/>
    <hyperlink r:id="rId727" ref="G374"/>
    <hyperlink r:id="rId728" ref="F375"/>
    <hyperlink r:id="rId729" ref="G375"/>
    <hyperlink r:id="rId730" ref="F376"/>
    <hyperlink r:id="rId731" ref="G376"/>
    <hyperlink r:id="rId732" ref="F377"/>
    <hyperlink r:id="rId733" ref="G377"/>
    <hyperlink r:id="rId734" ref="F378"/>
    <hyperlink r:id="rId735" ref="G378"/>
    <hyperlink r:id="rId736" ref="F379"/>
    <hyperlink r:id="rId737" ref="G379"/>
    <hyperlink r:id="rId738" ref="F380"/>
    <hyperlink r:id="rId739" ref="G380"/>
    <hyperlink r:id="rId740" ref="F381"/>
    <hyperlink r:id="rId741" ref="G381"/>
    <hyperlink r:id="rId742" ref="F382"/>
    <hyperlink r:id="rId743" ref="G382"/>
    <hyperlink r:id="rId744" ref="F383"/>
    <hyperlink r:id="rId745" ref="G383"/>
    <hyperlink r:id="rId746" ref="F384"/>
    <hyperlink r:id="rId747" ref="G384"/>
    <hyperlink r:id="rId748" ref="F385"/>
    <hyperlink r:id="rId749" ref="G385"/>
    <hyperlink r:id="rId750" ref="F386"/>
    <hyperlink r:id="rId751" ref="G386"/>
    <hyperlink r:id="rId752" ref="F387"/>
    <hyperlink r:id="rId753" ref="G387"/>
    <hyperlink r:id="rId754" ref="F388"/>
    <hyperlink r:id="rId755" ref="G388"/>
    <hyperlink r:id="rId756" ref="F389"/>
    <hyperlink r:id="rId757" ref="G389"/>
    <hyperlink r:id="rId758" ref="F390"/>
    <hyperlink r:id="rId759" ref="G390"/>
    <hyperlink r:id="rId760" ref="F391"/>
    <hyperlink r:id="rId761" ref="G391"/>
    <hyperlink r:id="rId762" ref="F392"/>
    <hyperlink r:id="rId763" ref="G392"/>
    <hyperlink r:id="rId764" ref="F393"/>
    <hyperlink r:id="rId765" ref="G393"/>
    <hyperlink r:id="rId766" ref="F394"/>
    <hyperlink r:id="rId767" ref="G394"/>
    <hyperlink r:id="rId768" ref="F395"/>
    <hyperlink r:id="rId769" ref="G395"/>
    <hyperlink r:id="rId770" ref="F396"/>
    <hyperlink r:id="rId771" ref="G396"/>
    <hyperlink r:id="rId772" ref="F397"/>
    <hyperlink r:id="rId773" ref="G397"/>
    <hyperlink r:id="rId774" ref="F398"/>
    <hyperlink r:id="rId775" ref="G398"/>
    <hyperlink r:id="rId776" ref="F399"/>
    <hyperlink r:id="rId777" ref="G399"/>
    <hyperlink r:id="rId778" ref="F400"/>
    <hyperlink r:id="rId779" ref="G400"/>
    <hyperlink r:id="rId780" ref="F401"/>
    <hyperlink r:id="rId781" ref="G401"/>
    <hyperlink r:id="rId782" ref="F402"/>
    <hyperlink r:id="rId783" ref="G402"/>
    <hyperlink r:id="rId784" ref="F403"/>
    <hyperlink r:id="rId785" ref="G403"/>
    <hyperlink r:id="rId786" ref="F404"/>
    <hyperlink r:id="rId787" ref="G404"/>
    <hyperlink r:id="rId788" ref="F405"/>
    <hyperlink r:id="rId789" ref="G405"/>
    <hyperlink r:id="rId790" ref="F406"/>
    <hyperlink r:id="rId791" ref="G406"/>
    <hyperlink r:id="rId792" ref="F407"/>
    <hyperlink r:id="rId793" ref="G407"/>
    <hyperlink r:id="rId794" ref="F408"/>
    <hyperlink r:id="rId795" ref="G408"/>
    <hyperlink r:id="rId796" ref="F409"/>
    <hyperlink r:id="rId797" ref="G409"/>
    <hyperlink r:id="rId798" ref="F410"/>
    <hyperlink r:id="rId799" ref="G410"/>
    <hyperlink r:id="rId800" ref="F411"/>
    <hyperlink r:id="rId801" ref="G411"/>
    <hyperlink r:id="rId802" ref="F412"/>
    <hyperlink r:id="rId803" ref="G412"/>
    <hyperlink r:id="rId804" ref="F413"/>
    <hyperlink r:id="rId805" ref="G413"/>
    <hyperlink r:id="rId806" ref="F414"/>
    <hyperlink r:id="rId807" ref="G414"/>
    <hyperlink r:id="rId808" ref="F415"/>
    <hyperlink r:id="rId809" ref="G415"/>
    <hyperlink r:id="rId810" ref="F416"/>
    <hyperlink r:id="rId811" ref="G416"/>
    <hyperlink r:id="rId812" ref="F417"/>
    <hyperlink r:id="rId813" ref="G417"/>
    <hyperlink r:id="rId814" ref="F418"/>
    <hyperlink r:id="rId815" ref="G418"/>
  </hyperlinks>
  <drawing r:id="rId816"/>
  <tableParts count="1">
    <tablePart r:id="rId8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 customWidth="1" min="2" max="2" width="5.25"/>
  </cols>
  <sheetData>
    <row r="1">
      <c r="A1" s="1" t="str">
        <f>IFERROR(__xludf.DUMMYFUNCTION("QUERY(ARRAYFORMULA(TRIM(FLATTEN(IFERROR(SPLIT('Form Responses 1'!L2:L1000, "",""), """")))), ""select Col1, count(Col1) where Col1 != '' group by Col1 order by count(Col1) desc label Col1 'Topic', count(Col1) 'Count'"")"),"Topic")</f>
        <v>Topic</v>
      </c>
      <c r="B1" s="1" t="str">
        <f>IFERROR(__xludf.DUMMYFUNCTION("""COMPUTED_VALUE"""),"Count")</f>
        <v>Count</v>
      </c>
    </row>
    <row r="2">
      <c r="A2" s="2" t="str">
        <f>IFERROR(__xludf.DUMMYFUNCTION("""COMPUTED_VALUE"""),"NLP &amp; LLMs")</f>
        <v>NLP &amp; LLMs</v>
      </c>
      <c r="B2" s="2">
        <f>IFERROR(__xludf.DUMMYFUNCTION("""COMPUTED_VALUE"""),288.0)</f>
        <v>288</v>
      </c>
    </row>
    <row r="3">
      <c r="A3" s="2" t="str">
        <f>IFERROR(__xludf.DUMMYFUNCTION("""COMPUTED_VALUE"""),"Agentic AI")</f>
        <v>Agentic AI</v>
      </c>
      <c r="B3" s="2">
        <f>IFERROR(__xludf.DUMMYFUNCTION("""COMPUTED_VALUE"""),281.0)</f>
        <v>281</v>
      </c>
    </row>
    <row r="4">
      <c r="A4" s="2" t="str">
        <f>IFERROR(__xludf.DUMMYFUNCTION("""COMPUTED_VALUE"""),"Deep Learning")</f>
        <v>Deep Learning</v>
      </c>
      <c r="B4" s="2">
        <f>IFERROR(__xludf.DUMMYFUNCTION("""COMPUTED_VALUE"""),280.0)</f>
        <v>280</v>
      </c>
    </row>
    <row r="5">
      <c r="A5" s="2" t="str">
        <f>IFERROR(__xludf.DUMMYFUNCTION("""COMPUTED_VALUE"""),"MLOps ( using AWS and/or Huwawie Cloud )")</f>
        <v>MLOps ( using AWS and/or Huwawie Cloud )</v>
      </c>
      <c r="B5" s="2">
        <f>IFERROR(__xludf.DUMMYFUNCTION("""COMPUTED_VALUE"""),267.0)</f>
        <v>267</v>
      </c>
    </row>
    <row r="6">
      <c r="A6" s="2" t="str">
        <f>IFERROR(__xludf.DUMMYFUNCTION("""COMPUTED_VALUE"""),"AI Tools")</f>
        <v>AI Tools</v>
      </c>
      <c r="B6" s="2">
        <f>IFERROR(__xludf.DUMMYFUNCTION("""COMPUTED_VALUE"""),264.0)</f>
        <v>264</v>
      </c>
    </row>
    <row r="7">
      <c r="A7" s="2" t="str">
        <f>IFERROR(__xludf.DUMMYFUNCTION("""COMPUTED_VALUE"""),"Machine Learning")</f>
        <v>Machine Learning</v>
      </c>
      <c r="B7" s="2">
        <f>IFERROR(__xludf.DUMMYFUNCTION("""COMPUTED_VALUE"""),262.0)</f>
        <v>262</v>
      </c>
    </row>
    <row r="8">
      <c r="A8" s="2" t="str">
        <f>IFERROR(__xludf.DUMMYFUNCTION("""COMPUTED_VALUE"""),"All AI Topics")</f>
        <v>All AI Topics</v>
      </c>
      <c r="B8" s="2">
        <f>IFERROR(__xludf.DUMMYFUNCTION("""COMPUTED_VALUE"""),252.0)</f>
        <v>252</v>
      </c>
    </row>
    <row r="9">
      <c r="A9" s="2" t="str">
        <f>IFERROR(__xludf.DUMMYFUNCTION("""COMPUTED_VALUE"""),"Computer Vision")</f>
        <v>Computer Vision</v>
      </c>
      <c r="B9" s="2">
        <f>IFERROR(__xludf.DUMMYFUNCTION("""COMPUTED_VALUE"""),246.0)</f>
        <v>246</v>
      </c>
    </row>
    <row r="10">
      <c r="A10" s="2" t="str">
        <f>IFERROR(__xludf.DUMMYFUNCTION("""COMPUTED_VALUE"""),"Data Analysis ( using python )")</f>
        <v>Data Analysis ( using python )</v>
      </c>
      <c r="B10" s="2">
        <f>IFERROR(__xludf.DUMMYFUNCTION("""COMPUTED_VALUE"""),197.0)</f>
        <v>197</v>
      </c>
    </row>
    <row r="11">
      <c r="A11" s="2" t="str">
        <f>IFERROR(__xludf.DUMMYFUNCTION("""COMPUTED_VALUE"""),"Introduction to Data Engineering ( Theoratical )")</f>
        <v>Introduction to Data Engineering ( Theoratical )</v>
      </c>
      <c r="B11" s="2">
        <f>IFERROR(__xludf.DUMMYFUNCTION("""COMPUTED_VALUE"""),185.0)</f>
        <v>185</v>
      </c>
    </row>
    <row r="12">
      <c r="A12" s="2" t="str">
        <f>IFERROR(__xludf.DUMMYFUNCTION("""COMPUTED_VALUE"""),"Data Preprocessing")</f>
        <v>Data Preprocessing</v>
      </c>
      <c r="B12" s="2">
        <f>IFERROR(__xludf.DUMMYFUNCTION("""COMPUTED_VALUE"""),183.0)</f>
        <v>183</v>
      </c>
    </row>
    <row r="13">
      <c r="A13" s="2" t="str">
        <f>IFERROR(__xludf.DUMMYFUNCTION("""COMPUTED_VALUE"""),"Mathematics")</f>
        <v>Mathematics</v>
      </c>
      <c r="B13" s="2">
        <f>IFERROR(__xludf.DUMMYFUNCTION("""COMPUTED_VALUE"""),163.0)</f>
        <v>163</v>
      </c>
    </row>
    <row r="14">
      <c r="A14" s="2" t="str">
        <f>IFERROR(__xludf.DUMMYFUNCTION("""COMPUTED_VALUE"""),"Python Basics")</f>
        <v>Python Basics</v>
      </c>
      <c r="B14" s="2">
        <f>IFERROR(__xludf.DUMMYFUNCTION("""COMPUTED_VALUE"""),136.0)</f>
        <v>136</v>
      </c>
    </row>
  </sheetData>
  <drawing r:id="rId1"/>
</worksheet>
</file>